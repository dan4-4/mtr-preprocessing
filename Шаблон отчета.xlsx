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.puhov\AppData\Local\Microsoft\Windows\INetCache\Content.Outlook\OZOVJ8NC\"/>
    </mc:Choice>
  </mc:AlternateContent>
  <bookViews>
    <workbookView xWindow="0" yWindow="0" windowWidth="11400" windowHeight="5895"/>
  </bookViews>
  <sheets>
    <sheet name="МТР" sheetId="4" r:id="rId1"/>
  </sheets>
  <definedNames>
    <definedName name="_xlnm._FilterDatabase" localSheetId="0" hidden="1">МТР!$A$11:$AU$18</definedName>
  </definedNames>
  <calcPr calcId="162913"/>
</workbook>
</file>

<file path=xl/calcChain.xml><?xml version="1.0" encoding="utf-8"?>
<calcChain xmlns="http://schemas.openxmlformats.org/spreadsheetml/2006/main">
  <c r="BR18" i="4" l="1"/>
  <c r="BT18" i="4" s="1"/>
  <c r="BR17" i="4"/>
  <c r="BT17" i="4" s="1"/>
  <c r="BR16" i="4"/>
  <c r="BT16" i="4" s="1"/>
  <c r="BR15" i="4"/>
  <c r="BT15" i="4" s="1"/>
  <c r="BR14" i="4"/>
  <c r="BS14" i="4" s="1"/>
  <c r="BR13" i="4"/>
  <c r="BS13" i="4" s="1"/>
  <c r="CA18" i="4"/>
  <c r="CC18" i="4" s="1"/>
  <c r="CC17" i="4"/>
  <c r="CA17" i="4"/>
  <c r="CB17" i="4" s="1"/>
  <c r="CA16" i="4"/>
  <c r="CC16" i="4" s="1"/>
  <c r="CA15" i="4"/>
  <c r="CC15" i="4" s="1"/>
  <c r="CA14" i="4"/>
  <c r="CC14" i="4" s="1"/>
  <c r="CA13" i="4"/>
  <c r="CB13" i="4" s="1"/>
  <c r="CA12" i="4"/>
  <c r="CC12" i="4"/>
  <c r="CB12" i="4"/>
  <c r="BX18" i="4"/>
  <c r="BY18" i="4" s="1"/>
  <c r="BX17" i="4"/>
  <c r="BZ17" i="4" s="1"/>
  <c r="BX16" i="4"/>
  <c r="BY16" i="4" s="1"/>
  <c r="BX15" i="4"/>
  <c r="BY15" i="4" s="1"/>
  <c r="BX14" i="4"/>
  <c r="BZ14" i="4" s="1"/>
  <c r="BX13" i="4"/>
  <c r="BZ13" i="4" s="1"/>
  <c r="BX12" i="4"/>
  <c r="BZ12" i="4" s="1"/>
  <c r="BU18" i="4"/>
  <c r="BW18" i="4" s="1"/>
  <c r="BU17" i="4"/>
  <c r="BW17" i="4" s="1"/>
  <c r="BU16" i="4"/>
  <c r="BW16" i="4" s="1"/>
  <c r="BU15" i="4"/>
  <c r="BV15" i="4" s="1"/>
  <c r="BU14" i="4"/>
  <c r="BV14" i="4" s="1"/>
  <c r="BU13" i="4"/>
  <c r="BW13" i="4" s="1"/>
  <c r="BU12" i="4"/>
  <c r="BW12" i="4" s="1"/>
  <c r="BR12" i="4"/>
  <c r="BT12" i="4" s="1"/>
  <c r="BO12" i="4"/>
  <c r="BP12" i="4" s="1"/>
  <c r="BO13" i="4"/>
  <c r="BP13" i="4" s="1"/>
  <c r="BO14" i="4"/>
  <c r="BQ14" i="4" s="1"/>
  <c r="BO15" i="4"/>
  <c r="BQ15" i="4" s="1"/>
  <c r="BO16" i="4"/>
  <c r="BQ16" i="4" s="1"/>
  <c r="BO17" i="4"/>
  <c r="BP17" i="4" s="1"/>
  <c r="BO18" i="4"/>
  <c r="BP18" i="4" s="1"/>
  <c r="BN12" i="4"/>
  <c r="BN13" i="4"/>
  <c r="BN14" i="4"/>
  <c r="BN15" i="4"/>
  <c r="BN16" i="4"/>
  <c r="BN17" i="4"/>
  <c r="BN18" i="4"/>
  <c r="BM12" i="4"/>
  <c r="BM13" i="4"/>
  <c r="BM14" i="4"/>
  <c r="BM15" i="4"/>
  <c r="BM16" i="4"/>
  <c r="BM17" i="4"/>
  <c r="BM18" i="4"/>
  <c r="R12" i="4"/>
  <c r="R13" i="4"/>
  <c r="R14" i="4"/>
  <c r="R15" i="4"/>
  <c r="R16" i="4"/>
  <c r="R17" i="4"/>
  <c r="R18" i="4"/>
  <c r="AD12" i="4"/>
  <c r="AD13" i="4"/>
  <c r="AD14" i="4"/>
  <c r="AD15" i="4"/>
  <c r="AD16" i="4"/>
  <c r="AD17" i="4"/>
  <c r="AD18" i="4"/>
  <c r="CD13" i="4" l="1"/>
  <c r="BQ13" i="4"/>
  <c r="BQ12" i="4"/>
  <c r="CF12" i="4" s="1"/>
  <c r="BS15" i="4"/>
  <c r="CD15" i="4"/>
  <c r="CC13" i="4"/>
  <c r="CF17" i="4"/>
  <c r="CD17" i="4"/>
  <c r="BZ16" i="4"/>
  <c r="CF16" i="4" s="1"/>
  <c r="BW15" i="4"/>
  <c r="CF15" i="4" s="1"/>
  <c r="CD18" i="4"/>
  <c r="CD14" i="4"/>
  <c r="CD16" i="4"/>
  <c r="CD12" i="4"/>
  <c r="BV13" i="4"/>
  <c r="BV17" i="4"/>
  <c r="CB15" i="4"/>
  <c r="BZ18" i="4"/>
  <c r="BP16" i="4"/>
  <c r="BY14" i="4"/>
  <c r="BV18" i="4"/>
  <c r="CB16" i="4"/>
  <c r="BP14" i="4"/>
  <c r="BT13" i="4"/>
  <c r="CF13" i="4" s="1"/>
  <c r="BW14" i="4"/>
  <c r="BZ15" i="4"/>
  <c r="BP15" i="4"/>
  <c r="BT14" i="4"/>
  <c r="BY12" i="4"/>
  <c r="BV12" i="4"/>
  <c r="BV16" i="4"/>
  <c r="BY13" i="4"/>
  <c r="BY17" i="4"/>
  <c r="CB14" i="4"/>
  <c r="CB18" i="4"/>
  <c r="BS16" i="4"/>
  <c r="BQ18" i="4"/>
  <c r="BS17" i="4"/>
  <c r="BQ17" i="4"/>
  <c r="BS12" i="4"/>
  <c r="BS18" i="4"/>
  <c r="CE14" i="4" l="1"/>
  <c r="CF18" i="4"/>
  <c r="CE13" i="4"/>
  <c r="CE15" i="4"/>
  <c r="CE18" i="4"/>
  <c r="CE12" i="4"/>
  <c r="CF14" i="4"/>
  <c r="CE17" i="4"/>
  <c r="CE16" i="4"/>
</calcChain>
</file>

<file path=xl/sharedStrings.xml><?xml version="1.0" encoding="utf-8"?>
<sst xmlns="http://schemas.openxmlformats.org/spreadsheetml/2006/main" count="311" uniqueCount="185">
  <si>
    <t>Объект строительства/ Construction project:</t>
  </si>
  <si>
    <t>Страна строительства/ Country of construction:</t>
  </si>
  <si>
    <t>ИСХОДНЫЕ ДАННЫЕ ДЛЯ ПРОВЕДЕНИЯ МОНИТОРИНГА ЦЕН МТР</t>
  </si>
  <si>
    <t>ДАННЫЕ СОБРАННОЙ ЦЕНОВОЙ ИНФОРМАЦИИ ИЗ ИЦИ</t>
  </si>
  <si>
    <t>№ п/п / Re. no.</t>
  </si>
  <si>
    <t>ФГИС ЦС ( по проекту аналогу)</t>
  </si>
  <si>
    <t>Наименование строительного ресурса / Name of the resource</t>
  </si>
  <si>
    <t>Марка/модель строительного ресурса / Brand/Model of construction resource</t>
  </si>
  <si>
    <t>Характеристики строительного ресурса/ Characteristics of construction resource</t>
  </si>
  <si>
    <t>Стандарты/нормативы (ГОСТ, ТУ)/ Standards/regulations (GOST, TU)</t>
  </si>
  <si>
    <t>Ед. изм.</t>
  </si>
  <si>
    <t>Масса нетто, кг /Net weight, kg</t>
  </si>
  <si>
    <t>Масса брутто, кг / Gross weight, kg</t>
  </si>
  <si>
    <t>Источник ценовой информации № 1</t>
  </si>
  <si>
    <t>Код ресурса / Resource ID</t>
  </si>
  <si>
    <t>Вид ресурса / Type of resource</t>
  </si>
  <si>
    <t>Группа ресурса/ group</t>
  </si>
  <si>
    <t>Наименование контрагента</t>
  </si>
  <si>
    <t>Ссылка на источник ценовой информации (обоснование)</t>
  </si>
  <si>
    <t>Дата цены (дата ИЦИ)</t>
  </si>
  <si>
    <t>Действие ИЦИ до:</t>
  </si>
  <si>
    <t>Наименование строительного ресурса от производителя / поставщика (аналог)</t>
  </si>
  <si>
    <t>Масса нетто, кг</t>
  </si>
  <si>
    <t>Масса брутто, кг</t>
  </si>
  <si>
    <t>Валюта  ИЦИ</t>
  </si>
  <si>
    <t>Сметная цена единицы МТР, без НДС</t>
  </si>
  <si>
    <t>Таможенные сборы, без НДС</t>
  </si>
  <si>
    <t>Страховые сборы, без НДС</t>
  </si>
  <si>
    <t>Прочие расходы (другие сборы, и т.д.), без НДС</t>
  </si>
  <si>
    <t>Цена услуг по доставке, без НДС</t>
  </si>
  <si>
    <t>Сметная цена единицы МТР и всех расх., без НДС</t>
  </si>
  <si>
    <t>Прочие расходы, без НДС</t>
  </si>
  <si>
    <t>Наименование расхода</t>
  </si>
  <si>
    <t>EGP</t>
  </si>
  <si>
    <t>USD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</si>
  <si>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</si>
  <si>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</si>
  <si>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</si>
  <si>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</si>
  <si>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</si>
  <si>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</si>
  <si>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</si>
  <si>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</si>
  <si>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</si>
  <si>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</si>
  <si>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</si>
  <si>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</si>
  <si>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</si>
  <si>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</si>
  <si>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</si>
  <si>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</si>
  <si>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</si>
  <si>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</si>
  <si>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</si>
  <si>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</si>
  <si>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</si>
  <si>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</si>
  <si>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</si>
  <si>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</si>
  <si>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</si>
  <si>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</si>
  <si>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</si>
  <si>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</si>
  <si>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</si>
  <si>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</si>
  <si>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</si>
  <si>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</si>
  <si>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</si>
  <si>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</si>
  <si>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</si>
  <si>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</si>
  <si>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</si>
  <si>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</si>
  <si>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</si>
  <si>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</si>
  <si>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</si>
  <si>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</si>
  <si>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</si>
  <si>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</si>
  <si>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</si>
  <si>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</si>
  <si>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</si>
  <si>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</si>
  <si>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</si>
  <si>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</si>
  <si>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</si>
  <si>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</si>
  <si>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56</t>
  </si>
  <si>
    <t>57</t>
  </si>
  <si>
    <t>58</t>
  </si>
  <si>
    <t>60</t>
  </si>
  <si>
    <t>61</t>
  </si>
  <si>
    <t>62</t>
  </si>
  <si>
    <t>64</t>
  </si>
  <si>
    <t>65</t>
  </si>
  <si>
    <t>66</t>
  </si>
  <si>
    <t>68</t>
  </si>
  <si>
    <t>69</t>
  </si>
  <si>
    <t>70</t>
  </si>
  <si>
    <t>72</t>
  </si>
  <si>
    <t>73</t>
  </si>
  <si>
    <t>74</t>
  </si>
  <si>
    <t>МТР</t>
  </si>
  <si>
    <t>т</t>
  </si>
  <si>
    <t>Растворители и разбавители, смывки</t>
  </si>
  <si>
    <t>Растворители</t>
  </si>
  <si>
    <t>Растворитель для красок на масляной, алкидной основе</t>
  </si>
  <si>
    <t>Растворитель для красок на масляной основе и основе алкидной смолы по типу JOTUN THINNER No. 2Предназначено для улучшения растекания продуктов Jotun на масляной основе и основе алкидной смолы. Также можно использовать в качестве очистителя для окрасочного аппарата и инструментов до и после окраски.Сухой остаток (по объему): 0%Температура вспышки: 39 °CПлотность: 0,8 кг/л</t>
  </si>
  <si>
    <t>ISO 3679 Method 1
ISO 3233</t>
  </si>
  <si>
    <t>Проволока</t>
  </si>
  <si>
    <t>Проволока низкоуглеродистая без покрытия</t>
  </si>
  <si>
    <t>Проволока вязальная низкоуглеродистая 1,2 мм без покрытия</t>
  </si>
  <si>
    <t>ES-262-1/2015 
ISO6935-1/2007
ГОСТ 3284-74</t>
  </si>
  <si>
    <t>кг</t>
  </si>
  <si>
    <t>Прокат листовой плоский</t>
  </si>
  <si>
    <t>Прокат листовой горячекатаный углеродистый</t>
  </si>
  <si>
    <t>EN 10029-2011
DIN EN 10025-2</t>
  </si>
  <si>
    <t>Прокат листовой горячекатаный в листах, марка стали S355J2, толщина 6 мм</t>
  </si>
  <si>
    <t>Прокат толстолистовой горячекатаный в листах, марка стали S355J2, толщина 6 ммШирина х длина: 1500х6000 мм; 2000х6000 мм; 2000х12000 мм</t>
  </si>
  <si>
    <t>Прокат листовой горячекатаный в листах, марка стали S355J2, толщина 8 мм</t>
  </si>
  <si>
    <t>Прокат толстолистовой горячекатаный в листах, марка стали S355J2, толщина 8 ммШирина х длина: 1500х6000 мм; 2000х6000 мм; 2000х12000 мм</t>
  </si>
  <si>
    <t>Прокат листовой горячекатаный в листах, марка стали S355J2, толщина 16 мм</t>
  </si>
  <si>
    <t>Прокат толстолистовой горячекатаный в листах, марка стали S355J2, толщина 16 ммШирина х длина: 1500х6000 мм; 2000х6000 мм; 2000х12000 мм</t>
  </si>
  <si>
    <t>Продукция битумная</t>
  </si>
  <si>
    <t>Эмульсии битумосодержащие</t>
  </si>
  <si>
    <t>Битумно-полимерная эмульсионная мастика</t>
  </si>
  <si>
    <t>По типу MASTERSEAL 620 / MASTERSEAL 622 / INSUGUARD RB30 / Nitoproof A30</t>
  </si>
  <si>
    <t>Однокомпонентная битумно-полимерная эмульсионная мастика с высоким содержанием твердых в остатке, образует эластичную гидроизоляционную мембрану По типу MASTERSEAL 620 / MASTERSEAL 622 / INSUGUARD RB30 / Nitoproof A30</t>
  </si>
  <si>
    <t>EN 15814</t>
  </si>
  <si>
    <t>Сталь арматурная горячекатаная для железобетонных конструкций</t>
  </si>
  <si>
    <t>Сталь арматурная гладкая</t>
  </si>
  <si>
    <t>Сталь арматурная, гладкая, класс B240D-P, диаметр 6 мм</t>
  </si>
  <si>
    <t>Сталь арматурная, гладкая, класс B240D-P, диаметр 6 ммПредел текучести 240 MPa, сопротивление разрыву 300 MPa (макс 520 MPa), относительное удлинение 22%.Химический состав:  P фосфор &lt; 0,050%, S сера &lt; 0.050%</t>
  </si>
  <si>
    <t>ES: 262 – 1/2015</t>
  </si>
  <si>
    <t>Форма отчета по проведенному мониторингу цен по материально-техническим ресурсам  / The report form for the conducted price monitoring of material and technical resources</t>
  </si>
  <si>
    <t>Период / Period</t>
  </si>
  <si>
    <t>Раздел/ Section</t>
  </si>
  <si>
    <t>14.5.09.07-БН</t>
  </si>
  <si>
    <t>08.3.03.04-БН</t>
  </si>
  <si>
    <t>08.3.05.02-БН</t>
  </si>
  <si>
    <t>01.2.03.07-БН</t>
  </si>
  <si>
    <t>08.4.03.02-БН</t>
  </si>
  <si>
    <t>Средняя сметная цена, без НДС</t>
  </si>
  <si>
    <t>Средняя цена на Таможенные сборы, без НДС</t>
  </si>
  <si>
    <t>Средняя цена на Страховые сборы, без НДС</t>
  </si>
  <si>
    <t>Средняя цена на Прочие расходы, без НДС</t>
  </si>
  <si>
    <t>Средняя цена на услуги по доставке, без НДС</t>
  </si>
  <si>
    <t>Сметная стоимость за ед. изм. без НДС</t>
  </si>
  <si>
    <t>В валюте страны строительства</t>
  </si>
  <si>
    <t>В валюте Контракта на стр-во</t>
  </si>
  <si>
    <t>В валюте РФ (справочно)</t>
  </si>
  <si>
    <t>RUB</t>
  </si>
  <si>
    <t>000004991</t>
  </si>
  <si>
    <t>Растворитель для красок на масляной основе и основе алкидных смол / Thinner 906 / Растворитель для красок на масляной основе и основе алкидных смол
Thinner 906
Цвет бесцветный
Температура вспышки приблизительно 28°C
Содержание твердых веществ (% по объему)  0 %  Измерено в соответствии с ISO 3233:1998 (E)</t>
  </si>
  <si>
    <t>000004914</t>
  </si>
  <si>
    <t>Проволока вязальная низкоуглеродистая 1,2 мм без покрытия / Проволока вязальная низкоуглеродистая 1,2 мм без покрытия / ES-262-1/2015 
ISO6935-1/2007
ГОСТ 3284-74</t>
  </si>
  <si>
    <t>000004968</t>
  </si>
  <si>
    <t>5172/2025</t>
  </si>
  <si>
    <t>Прокат листовой горячекатаный в листах, марка стали S355J2, толщина 6 мм / Прокат толстолистовой горячекатаный в листах, марка стали S355J2, толщина 6 мм
Ширина х длина: 1500х6000 мм; 2000х6000 мм; 2000х12000 мм / EN 10029-2011
DIN EN 10025-2</t>
  </si>
  <si>
    <t>Прокат листовой горячекатаный в листах, марка стали S355J2, толщина 8 мм / Прокат толстолистовой горячекатаный в листах, марка стали S355J2, толщина 8 мм
Ширина х длина: 1500х6000 мм; 2000х6000 мм; 2000х12000 мм / EN 10029-2011
DIN EN 10025-2</t>
  </si>
  <si>
    <t>Прокат листовой горячекатаный в листах, марка стали S355J2, толщина 16 мм / Прокат толстолистовой горячекатаный в листах, марка стали S355J2, толщина 16 мм
Ширина х длина: 1500х6000 мм; 2000х6000 мм; 2000х12000 мм / EN 10029-2011
DIN EN 10025-2</t>
  </si>
  <si>
    <t>000004967</t>
  </si>
  <si>
    <t>б/н Битум</t>
  </si>
  <si>
    <t>Битумно-полимерная эмульсионная мастика / По типу MASTERSEAL 620 / MASTERSEAL 622 / INSUGUARD RB30 / Nitoproof A30 / Однокомпонентная битумно-полимерная эмульсионная мастика с высоким содержанием твердых в остатке, образует эластичную гидроизоляционную мембрану 
По типу MASTERSEAL 620 / MASTERSEAL 622 / INSUGUARD RB30 / Nitoproof A30 / EN 15814</t>
  </si>
  <si>
    <t>000005005</t>
  </si>
  <si>
    <t>б/н арматура</t>
  </si>
  <si>
    <t>Сталь арматурная, гладкая, класс B240D-P, диаметр 6 мм / Сталь арматурная, гладкая, класс B240D-P, диаметр 6 мм
Предел текучести 240 MPa, сопротивление разрыву 300 MPa (макс 520 MPa), относительное удлинение 22%.
Химический состав:  P фосфор &lt; 0,050%, S сера &lt; 0.050%  / ES: 262 – 1/2015</t>
  </si>
  <si>
    <t xml:space="preserve">Номер ИЦИ </t>
  </si>
  <si>
    <t>Код 
внутренний</t>
  </si>
  <si>
    <t>Количество ИЦИ</t>
  </si>
  <si>
    <t>Собрано всего</t>
  </si>
  <si>
    <t>Принято в 
расчет 
сметной цены и 
сметной стоимости</t>
  </si>
  <si>
    <t>ЕГИПЕТ</t>
  </si>
  <si>
    <t>АЭС "ЭЛЬ-ДАБАА"</t>
  </si>
  <si>
    <t>1 КВАРТАЛ 2026 ГОДА</t>
  </si>
  <si>
    <t>ПРАЙС</t>
  </si>
  <si>
    <t>ТКП</t>
  </si>
  <si>
    <t>ПОСТАВЩИК 1</t>
  </si>
  <si>
    <t>ПОСТАВЩИК 2</t>
  </si>
  <si>
    <t>ПОСТАВЩИК 3</t>
  </si>
  <si>
    <t>ПОСТАВЩИК 4</t>
  </si>
  <si>
    <t>ПОСТАВЩИК 5</t>
  </si>
  <si>
    <t>Источник ценовой информации № 1+n</t>
  </si>
  <si>
    <t>Источник ценовой информации № 2</t>
  </si>
  <si>
    <t xml:space="preserve"> Расчёт по формуле в соответствии с п. 3.3.1. приказа ГК "Росатом" от 06.09.2018 № 1/990-П "Об утверждении Единых отраслевых методических указаний по мониторингу цен строительных ресурсов для объектов, реализуемых за пределами РФ"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</si>
</sst>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13" x14ac:knownFonts="1">
    <font>
      <sz val="8"/>
      <name val="Arial"/>
    </font>
    <font>
      <b/>
      <sz val="8"/>
      <name val="Times New Roman"/>
      <family val="1"/>
      <charset val="204"/>
    </font>
    <font>
      <sz val="8"/>
      <name val="Times New Roman"/>
      <family val="1"/>
      <charset val="204"/>
    </font>
    <font>
      <b/>
      <i/>
      <sz val="8"/>
      <name val="Times New Roman"/>
      <family val="1"/>
      <charset val="204"/>
    </font>
    <font>
      <b/>
      <sz val="9"/>
      <color rgb="FFC00000"/>
      <name val="Times New Roman"/>
      <family val="1"/>
      <charset val="204"/>
    </font>
    <font>
      <sz val="7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sz val="8"/>
      <name val="Arial"/>
      <family val="2"/>
      <charset val="204"/>
    </font>
    <font>
      <b/>
      <sz val="9"/>
      <color rgb="FFFF0000"/>
      <name val="Times New Roman"/>
      <family val="2"/>
    </font>
    <font>
      <b/>
      <sz val="8"/>
      <name val="Times New Roman"/>
      <family val="2"/>
    </font>
    <font>
      <sz val="8"/>
      <name val="Times New Roman"/>
      <family val="2"/>
    </font>
    <font>
      <sz val="8"/>
      <name val="Arial"/>
      <family val="2"/>
      <charset val="204"/>
    </font>
    <font>
      <b/>
      <sz val="8"/>
      <color rgb="FF00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E1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FFFFB3"/>
        <bgColor auto="1"/>
      </patternFill>
    </fill>
    <fill>
      <patternFill patternType="solid">
        <fgColor rgb="FFCCC0D9"/>
        <bgColor auto="1"/>
      </patternFill>
    </fill>
    <fill>
      <patternFill patternType="solid">
        <fgColor rgb="FFFFC000"/>
        <bgColor auto="1"/>
      </patternFill>
    </fill>
  </fills>
  <borders count="35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0" fontId="7" fillId="0" borderId="1"/>
    <xf numFmtId="43" fontId="11" fillId="0" borderId="0" applyFont="0" applyFill="0" applyBorder="0" applyAlignment="0" applyProtection="0"/>
  </cellStyleXfs>
  <cellXfs count="73">
    <xf numFmtId="0" fontId="0" fillId="0" borderId="0" xfId="0"/>
    <xf numFmtId="0" fontId="7" fillId="0" borderId="1" xfId="1" applyBorder="1" applyAlignment="1">
      <alignment horizontal="left"/>
    </xf>
    <xf numFmtId="0" fontId="7" fillId="0" borderId="1" xfId="1"/>
    <xf numFmtId="0" fontId="7" fillId="0" borderId="1" xfId="1" applyAlignment="1">
      <alignment horizontal="left"/>
    </xf>
    <xf numFmtId="0" fontId="1" fillId="0" borderId="21" xfId="1" applyFont="1" applyBorder="1" applyAlignment="1">
      <alignment horizontal="center" vertical="center"/>
    </xf>
    <xf numFmtId="0" fontId="1" fillId="0" borderId="22" xfId="1" applyFont="1" applyBorder="1" applyAlignment="1">
      <alignment horizontal="center" vertical="center"/>
    </xf>
    <xf numFmtId="0" fontId="7" fillId="0" borderId="1" xfId="1" applyAlignment="1"/>
    <xf numFmtId="0" fontId="9" fillId="5" borderId="28" xfId="0" applyFont="1" applyFill="1" applyBorder="1" applyAlignment="1">
      <alignment horizontal="center" vertical="center" wrapText="1"/>
    </xf>
    <xf numFmtId="0" fontId="9" fillId="5" borderId="19" xfId="0" applyFont="1" applyFill="1" applyBorder="1" applyAlignment="1">
      <alignment horizontal="center" vertical="center" wrapText="1"/>
    </xf>
    <xf numFmtId="0" fontId="10" fillId="5" borderId="19" xfId="0" applyFont="1" applyFill="1" applyBorder="1" applyAlignment="1">
      <alignment horizontal="center" vertical="center" wrapText="1"/>
    </xf>
    <xf numFmtId="0" fontId="10" fillId="5" borderId="28" xfId="0" applyFont="1" applyFill="1" applyBorder="1" applyAlignment="1">
      <alignment horizontal="center" vertical="center" wrapText="1"/>
    </xf>
    <xf numFmtId="0" fontId="9" fillId="5" borderId="29" xfId="0" applyFont="1" applyFill="1" applyBorder="1" applyAlignment="1">
      <alignment horizontal="center" vertical="center" wrapText="1"/>
    </xf>
    <xf numFmtId="0" fontId="9" fillId="5" borderId="30" xfId="0" applyFont="1" applyFill="1" applyBorder="1" applyAlignment="1">
      <alignment horizontal="center" vertical="center" wrapText="1"/>
    </xf>
    <xf numFmtId="0" fontId="9" fillId="5" borderId="31" xfId="0" applyFont="1" applyFill="1" applyBorder="1" applyAlignment="1">
      <alignment horizontal="center" vertical="center" wrapText="1"/>
    </xf>
    <xf numFmtId="0" fontId="10" fillId="5" borderId="31" xfId="0" applyFont="1" applyFill="1" applyBorder="1" applyAlignment="1">
      <alignment horizontal="center" vertical="center" wrapText="1"/>
    </xf>
    <xf numFmtId="0" fontId="10" fillId="5" borderId="30" xfId="0" applyFont="1" applyFill="1" applyBorder="1" applyAlignment="1">
      <alignment horizontal="center" vertical="center" wrapText="1"/>
    </xf>
    <xf numFmtId="0" fontId="9" fillId="5" borderId="32" xfId="0" applyFont="1" applyFill="1" applyBorder="1" applyAlignment="1">
      <alignment horizontal="center" vertical="center" wrapText="1"/>
    </xf>
    <xf numFmtId="0" fontId="7" fillId="0" borderId="1" xfId="1" applyFill="1" applyAlignment="1">
      <alignment horizontal="left"/>
    </xf>
    <xf numFmtId="0" fontId="7" fillId="0" borderId="1" xfId="1" applyFill="1"/>
    <xf numFmtId="0" fontId="2" fillId="0" borderId="23" xfId="1" applyFont="1" applyBorder="1" applyAlignment="1">
      <alignment horizontal="center" vertical="top" wrapText="1"/>
    </xf>
    <xf numFmtId="0" fontId="6" fillId="0" borderId="23" xfId="1" applyFont="1" applyBorder="1" applyAlignment="1">
      <alignment horizontal="left" vertical="top" wrapText="1"/>
    </xf>
    <xf numFmtId="0" fontId="6" fillId="0" borderId="23" xfId="1" applyFont="1" applyBorder="1" applyAlignment="1">
      <alignment horizontal="center" vertical="top" wrapText="1"/>
    </xf>
    <xf numFmtId="3" fontId="6" fillId="0" borderId="23" xfId="1" applyNumberFormat="1" applyFont="1" applyBorder="1" applyAlignment="1">
      <alignment horizontal="right" vertical="top" wrapText="1"/>
    </xf>
    <xf numFmtId="0" fontId="6" fillId="0" borderId="23" xfId="1" applyFont="1" applyBorder="1" applyAlignment="1">
      <alignment horizontal="right" vertical="top" wrapText="1"/>
    </xf>
    <xf numFmtId="4" fontId="6" fillId="0" borderId="23" xfId="1" applyNumberFormat="1" applyFont="1" applyBorder="1" applyAlignment="1">
      <alignment horizontal="right" vertical="top" wrapText="1"/>
    </xf>
    <xf numFmtId="2" fontId="6" fillId="0" borderId="23" xfId="1" applyNumberFormat="1" applyFont="1" applyBorder="1" applyAlignment="1">
      <alignment horizontal="right" vertical="top" wrapText="1"/>
    </xf>
    <xf numFmtId="14" fontId="6" fillId="0" borderId="23" xfId="1" applyNumberFormat="1" applyFont="1" applyBorder="1" applyAlignment="1">
      <alignment horizontal="left" vertical="top" wrapText="1"/>
    </xf>
    <xf numFmtId="0" fontId="7" fillId="0" borderId="1" xfId="1" applyAlignment="1">
      <alignment vertical="top" wrapText="1"/>
    </xf>
    <xf numFmtId="0" fontId="7" fillId="0" borderId="1" xfId="1" applyFill="1" applyAlignment="1">
      <alignment vertical="top" wrapText="1"/>
    </xf>
    <xf numFmtId="4" fontId="7" fillId="0" borderId="1" xfId="1" applyNumberFormat="1" applyAlignment="1">
      <alignment vertical="top" wrapText="1"/>
    </xf>
    <xf numFmtId="4" fontId="7" fillId="0" borderId="1" xfId="1" applyNumberFormat="1" applyFill="1" applyAlignment="1">
      <alignment vertical="top" wrapText="1"/>
    </xf>
    <xf numFmtId="2" fontId="7" fillId="0" borderId="1" xfId="2" applyNumberFormat="1" applyFont="1" applyBorder="1" applyAlignment="1">
      <alignment vertical="top" wrapText="1"/>
    </xf>
    <xf numFmtId="2" fontId="7" fillId="0" borderId="1" xfId="2" applyNumberFormat="1" applyFont="1" applyFill="1" applyBorder="1" applyAlignment="1">
      <alignment vertical="top" wrapText="1"/>
    </xf>
    <xf numFmtId="0" fontId="0" fillId="0" borderId="0" xfId="0" applyAlignment="1">
      <alignment horizontal="left"/>
    </xf>
    <xf numFmtId="0" fontId="5" fillId="4" borderId="16" xfId="1" applyFont="1" applyFill="1" applyBorder="1" applyAlignment="1">
      <alignment horizontal="center" vertical="center" wrapText="1"/>
    </xf>
    <xf numFmtId="0" fontId="5" fillId="4" borderId="17" xfId="1" applyFont="1" applyFill="1" applyBorder="1" applyAlignment="1">
      <alignment horizontal="center" vertical="center" wrapText="1"/>
    </xf>
    <xf numFmtId="0" fontId="12" fillId="4" borderId="15" xfId="1" applyFont="1" applyFill="1" applyBorder="1" applyAlignment="1">
      <alignment horizontal="center" vertical="center" wrapText="1"/>
    </xf>
    <xf numFmtId="0" fontId="5" fillId="4" borderId="18" xfId="1" applyFont="1" applyFill="1" applyBorder="1" applyAlignment="1">
      <alignment horizontal="center" vertical="center" wrapText="1"/>
    </xf>
    <xf numFmtId="0" fontId="5" fillId="4" borderId="4" xfId="1" applyFont="1" applyFill="1" applyBorder="1" applyAlignment="1">
      <alignment horizontal="center" vertical="center" wrapText="1"/>
    </xf>
    <xf numFmtId="0" fontId="9" fillId="5" borderId="24" xfId="0" applyFont="1" applyFill="1" applyBorder="1" applyAlignment="1">
      <alignment horizontal="center" vertical="center" wrapText="1"/>
    </xf>
    <xf numFmtId="0" fontId="9" fillId="5" borderId="25" xfId="0" applyFont="1" applyFill="1" applyBorder="1" applyAlignment="1">
      <alignment horizontal="center" vertical="center" wrapText="1"/>
    </xf>
    <xf numFmtId="0" fontId="9" fillId="5" borderId="26" xfId="0" applyFont="1" applyFill="1" applyBorder="1" applyAlignment="1">
      <alignment horizontal="center" vertical="center" wrapText="1"/>
    </xf>
    <xf numFmtId="0" fontId="9" fillId="5" borderId="27" xfId="0" applyFont="1" applyFill="1" applyBorder="1" applyAlignment="1">
      <alignment horizontal="center" vertical="center" wrapText="1"/>
    </xf>
    <xf numFmtId="0" fontId="2" fillId="6" borderId="34" xfId="0" applyFont="1" applyFill="1" applyBorder="1" applyAlignment="1">
      <alignment horizontal="center" vertical="center" wrapText="1"/>
    </xf>
    <xf numFmtId="0" fontId="2" fillId="6" borderId="16" xfId="0" applyFont="1" applyFill="1" applyBorder="1" applyAlignment="1">
      <alignment horizontal="center" vertical="center" wrapText="1"/>
    </xf>
    <xf numFmtId="0" fontId="2" fillId="6" borderId="17" xfId="0" applyFont="1" applyFill="1" applyBorder="1" applyAlignment="1">
      <alignment horizontal="center" vertical="center" wrapText="1"/>
    </xf>
    <xf numFmtId="0" fontId="2" fillId="6" borderId="33" xfId="0" applyFont="1" applyFill="1" applyBorder="1" applyAlignment="1">
      <alignment horizontal="center" vertical="center" wrapText="1"/>
    </xf>
    <xf numFmtId="0" fontId="10" fillId="5" borderId="24" xfId="0" applyFont="1" applyFill="1" applyBorder="1" applyAlignment="1">
      <alignment horizontal="center" vertical="center" wrapText="1"/>
    </xf>
    <xf numFmtId="0" fontId="10" fillId="5" borderId="25" xfId="0" applyFont="1" applyFill="1" applyBorder="1" applyAlignment="1">
      <alignment horizontal="center" vertical="center" wrapText="1"/>
    </xf>
    <xf numFmtId="0" fontId="10" fillId="5" borderId="26" xfId="0" applyFont="1" applyFill="1" applyBorder="1" applyAlignment="1">
      <alignment horizontal="center" vertical="center" wrapText="1"/>
    </xf>
    <xf numFmtId="0" fontId="5" fillId="4" borderId="19" xfId="1" applyFont="1" applyFill="1" applyBorder="1" applyAlignment="1">
      <alignment horizontal="center" vertical="center" wrapText="1"/>
    </xf>
    <xf numFmtId="0" fontId="5" fillId="4" borderId="20" xfId="1" applyFont="1" applyFill="1" applyBorder="1" applyAlignment="1">
      <alignment horizontal="center" vertical="center" wrapText="1"/>
    </xf>
    <xf numFmtId="0" fontId="5" fillId="4" borderId="12" xfId="1" applyFont="1" applyFill="1" applyBorder="1" applyAlignment="1">
      <alignment horizontal="center" vertical="center" wrapText="1"/>
    </xf>
    <xf numFmtId="0" fontId="5" fillId="2" borderId="11" xfId="1" applyFont="1" applyFill="1" applyBorder="1" applyAlignment="1">
      <alignment horizontal="center" vertical="center" wrapText="1"/>
    </xf>
    <xf numFmtId="0" fontId="5" fillId="2" borderId="17" xfId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 wrapText="1"/>
    </xf>
    <xf numFmtId="0" fontId="5" fillId="2" borderId="14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13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 wrapText="1"/>
    </xf>
    <xf numFmtId="0" fontId="3" fillId="0" borderId="1" xfId="1" applyFont="1" applyBorder="1" applyAlignment="1">
      <alignment horizontal="left" vertical="top"/>
    </xf>
    <xf numFmtId="0" fontId="5" fillId="2" borderId="6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5" fillId="2" borderId="5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7" xfId="1" applyFont="1" applyFill="1" applyBorder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 wrapText="1"/>
    </xf>
    <xf numFmtId="0" fontId="5" fillId="2" borderId="16" xfId="1" applyFont="1" applyFill="1" applyBorder="1" applyAlignment="1">
      <alignment horizontal="center" vertical="center" wrapText="1"/>
    </xf>
    <xf numFmtId="0" fontId="1" fillId="0" borderId="1" xfId="1" applyFont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wrapText="1"/>
    </xf>
    <xf numFmtId="0" fontId="4" fillId="3" borderId="3" xfId="1" applyFont="1" applyFill="1" applyBorder="1" applyAlignment="1">
      <alignment horizontal="left" wrapText="1"/>
    </xf>
    <xf numFmtId="0" fontId="4" fillId="6" borderId="3" xfId="0" applyFont="1" applyFill="1" applyBorder="1" applyAlignment="1">
      <alignment horizontal="left"/>
    </xf>
    <xf numFmtId="0" fontId="8" fillId="5" borderId="24" xfId="0" applyFont="1" applyFill="1" applyBorder="1" applyAlignment="1">
      <alignment horizontal="left" wrapText="1"/>
    </xf>
  </cellXfs>
  <cellStyles count="3">
    <cellStyle name="Обычный" xfId="0" builtinId="0"/>
    <cellStyle name="Обычный 2" xfId="1"/>
    <cellStyle name="Финансовый" xfId="2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DG21"/>
  <sheetViews>
    <sheetView tabSelected="1" topLeftCell="BC1" workbookViewId="0">
      <selection activeCell="BO6" sqref="BO6:CF6"/>
    </sheetView>
  </sheetViews>
  <sheetFormatPr defaultColWidth="10.5" defaultRowHeight="11.25" outlineLevelCol="1" x14ac:dyDescent="0.2"/>
  <cols>
    <col min="1" max="1" width="7" style="3" customWidth="1"/>
    <col min="2" max="2" width="9.83203125" style="3" customWidth="1"/>
    <col min="3" max="3" width="14.1640625" style="3" customWidth="1"/>
    <col min="4" max="4" width="7.6640625" style="3" customWidth="1"/>
    <col min="5" max="5" width="17.1640625" style="3" customWidth="1"/>
    <col min="6" max="6" width="19.1640625" style="3" customWidth="1"/>
    <col min="7" max="7" width="23.5" style="3" customWidth="1"/>
    <col min="8" max="8" width="21.33203125" style="3" customWidth="1"/>
    <col min="9" max="9" width="37.5" style="3" customWidth="1"/>
    <col min="10" max="10" width="17" style="3" customWidth="1"/>
    <col min="11" max="11" width="8.5" style="3" customWidth="1"/>
    <col min="12" max="12" width="9.83203125" style="3" customWidth="1"/>
    <col min="13" max="13" width="9.1640625" style="3" customWidth="1"/>
    <col min="14" max="18" width="11.1640625" style="3" customWidth="1"/>
    <col min="19" max="19" width="50" style="3" customWidth="1"/>
    <col min="20" max="23" width="11.1640625" style="3" customWidth="1"/>
    <col min="24" max="24" width="11.1640625" style="3" customWidth="1" collapsed="1"/>
    <col min="25" max="28" width="11.1640625" style="3" hidden="1" customWidth="1" outlineLevel="1"/>
    <col min="29" max="40" width="11.1640625" style="3" customWidth="1"/>
    <col min="41" max="41" width="11.1640625" style="3" customWidth="1" collapsed="1"/>
    <col min="42" max="45" width="11.1640625" style="3" hidden="1" customWidth="1" outlineLevel="1"/>
    <col min="46" max="57" width="11.1640625" style="3" customWidth="1"/>
    <col min="58" max="58" width="11.1640625" style="3" customWidth="1" collapsed="1"/>
    <col min="59" max="62" width="11.1640625" style="3" hidden="1" customWidth="1" outlineLevel="1"/>
    <col min="63" max="64" width="11.1640625" style="3" customWidth="1"/>
    <col min="65" max="68" width="10.5" style="2"/>
    <col min="69" max="69" width="10.5" style="2" collapsed="1"/>
    <col min="70" max="78" width="0" style="2" hidden="1" customWidth="1" outlineLevel="1"/>
    <col min="79" max="16384" width="10.5" style="2"/>
  </cols>
  <sheetData>
    <row r="1" spans="1:111" s="1" customFormat="1" x14ac:dyDescent="0.2">
      <c r="A1" s="68" t="s">
        <v>134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11" s="1" customFormat="1" x14ac:dyDescent="0.2">
      <c r="A2" s="59" t="s">
        <v>135</v>
      </c>
      <c r="B2" s="59"/>
      <c r="C2" s="59"/>
      <c r="D2" s="59"/>
      <c r="E2" s="59"/>
      <c r="F2" s="60" t="s">
        <v>174</v>
      </c>
      <c r="G2" s="60"/>
      <c r="H2" s="60"/>
      <c r="I2" s="60"/>
      <c r="J2" s="60"/>
      <c r="K2" s="60"/>
      <c r="L2" s="60"/>
      <c r="M2" s="60"/>
    </row>
    <row r="3" spans="1:111" s="1" customFormat="1" x14ac:dyDescent="0.2">
      <c r="A3" s="59" t="s">
        <v>0</v>
      </c>
      <c r="B3" s="59"/>
      <c r="C3" s="59"/>
      <c r="D3" s="59"/>
      <c r="E3" s="59"/>
      <c r="F3" s="60" t="s">
        <v>173</v>
      </c>
      <c r="G3" s="60"/>
      <c r="H3" s="60"/>
      <c r="I3" s="60"/>
      <c r="J3" s="60"/>
      <c r="K3" s="60"/>
      <c r="L3" s="60"/>
      <c r="M3" s="60"/>
    </row>
    <row r="4" spans="1:111" s="1" customFormat="1" x14ac:dyDescent="0.2">
      <c r="A4" s="59" t="s">
        <v>1</v>
      </c>
      <c r="B4" s="59"/>
      <c r="C4" s="59"/>
      <c r="D4" s="59"/>
      <c r="E4" s="59"/>
      <c r="F4" s="60" t="s">
        <v>172</v>
      </c>
      <c r="G4" s="60"/>
      <c r="H4" s="60"/>
      <c r="I4" s="60"/>
      <c r="J4" s="60"/>
      <c r="K4" s="60"/>
      <c r="L4" s="60"/>
      <c r="M4" s="60"/>
    </row>
    <row r="5" spans="1:111" s="1" customFormat="1" ht="12" thickBot="1" x14ac:dyDescent="0.25"/>
    <row r="6" spans="1:111" s="3" customFormat="1" ht="51" customHeight="1" thickBot="1" x14ac:dyDescent="0.25">
      <c r="A6" s="69" t="s">
        <v>2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70" t="s">
        <v>3</v>
      </c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 t="s">
        <v>3</v>
      </c>
      <c r="AF6" s="70"/>
      <c r="AG6" s="70"/>
      <c r="AH6" s="70"/>
      <c r="AI6" s="70"/>
      <c r="AJ6" s="70"/>
      <c r="AK6" s="70"/>
      <c r="AL6" s="70"/>
      <c r="AM6" s="70"/>
      <c r="AN6" s="70"/>
      <c r="AO6" s="70"/>
      <c r="AP6" s="70"/>
      <c r="AQ6" s="70"/>
      <c r="AR6" s="70"/>
      <c r="AS6" s="70"/>
      <c r="AT6" s="70"/>
      <c r="AU6" s="70"/>
      <c r="AV6" s="70" t="s">
        <v>3</v>
      </c>
      <c r="AW6" s="70"/>
      <c r="AX6" s="70"/>
      <c r="AY6" s="70"/>
      <c r="AZ6" s="70"/>
      <c r="BA6" s="70"/>
      <c r="BB6" s="70"/>
      <c r="BC6" s="70"/>
      <c r="BD6" s="70"/>
      <c r="BE6" s="70"/>
      <c r="BF6" s="70"/>
      <c r="BG6" s="70"/>
      <c r="BH6" s="70"/>
      <c r="BI6" s="70"/>
      <c r="BJ6" s="70"/>
      <c r="BK6" s="70"/>
      <c r="BL6" s="70"/>
      <c r="BM6" s="71" t="s">
        <v>169</v>
      </c>
      <c r="BN6" s="71"/>
      <c r="BO6" s="72" t="s">
        <v>184</v>
      </c>
      <c r="BP6" s="72"/>
      <c r="BQ6" s="72"/>
      <c r="BR6" s="72"/>
      <c r="BS6" s="72"/>
      <c r="BT6" s="72"/>
      <c r="BU6" s="72"/>
      <c r="BV6" s="72"/>
      <c r="BW6" s="72"/>
      <c r="BX6" s="72"/>
      <c r="BY6" s="72"/>
      <c r="BZ6" s="72"/>
      <c r="CA6" s="72"/>
      <c r="CB6" s="72"/>
      <c r="CC6" s="72"/>
      <c r="CD6" s="72"/>
      <c r="CE6" s="72"/>
      <c r="CF6" s="72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</row>
    <row r="7" spans="1:111" ht="11.25" customHeight="1" x14ac:dyDescent="0.2">
      <c r="A7" s="61" t="s">
        <v>4</v>
      </c>
      <c r="B7" s="64" t="s">
        <v>168</v>
      </c>
      <c r="C7" s="66" t="s">
        <v>5</v>
      </c>
      <c r="D7" s="66"/>
      <c r="E7" s="66"/>
      <c r="F7" s="66"/>
      <c r="G7" s="53" t="s">
        <v>6</v>
      </c>
      <c r="H7" s="53" t="s">
        <v>7</v>
      </c>
      <c r="I7" s="53" t="s">
        <v>8</v>
      </c>
      <c r="J7" s="53" t="s">
        <v>9</v>
      </c>
      <c r="K7" s="53" t="s">
        <v>10</v>
      </c>
      <c r="L7" s="53" t="s">
        <v>11</v>
      </c>
      <c r="M7" s="56" t="s">
        <v>12</v>
      </c>
      <c r="N7" s="36" t="s">
        <v>13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 t="s">
        <v>183</v>
      </c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 t="s">
        <v>182</v>
      </c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43" t="s">
        <v>170</v>
      </c>
      <c r="BN7" s="44" t="s">
        <v>171</v>
      </c>
      <c r="BO7" s="39" t="s">
        <v>142</v>
      </c>
      <c r="BP7" s="39"/>
      <c r="BQ7" s="39"/>
      <c r="BR7" s="47" t="s">
        <v>143</v>
      </c>
      <c r="BS7" s="47"/>
      <c r="BT7" s="47"/>
      <c r="BU7" s="47" t="s">
        <v>144</v>
      </c>
      <c r="BV7" s="47"/>
      <c r="BW7" s="47"/>
      <c r="BX7" s="47" t="s">
        <v>145</v>
      </c>
      <c r="BY7" s="47"/>
      <c r="BZ7" s="47"/>
      <c r="CA7" s="47" t="s">
        <v>146</v>
      </c>
      <c r="CB7" s="47"/>
      <c r="CC7" s="47"/>
      <c r="CD7" s="39" t="s">
        <v>147</v>
      </c>
      <c r="CE7" s="39"/>
      <c r="CF7" s="39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</row>
    <row r="8" spans="1:111" ht="11.25" customHeight="1" x14ac:dyDescent="0.2">
      <c r="A8" s="62"/>
      <c r="B8" s="65"/>
      <c r="C8" s="54" t="s">
        <v>14</v>
      </c>
      <c r="D8" s="67" t="s">
        <v>15</v>
      </c>
      <c r="E8" s="67" t="s">
        <v>136</v>
      </c>
      <c r="F8" s="67" t="s">
        <v>16</v>
      </c>
      <c r="G8" s="54"/>
      <c r="H8" s="54"/>
      <c r="I8" s="54"/>
      <c r="J8" s="54"/>
      <c r="K8" s="54"/>
      <c r="L8" s="54"/>
      <c r="M8" s="57"/>
      <c r="N8" s="37" t="s">
        <v>17</v>
      </c>
      <c r="O8" s="34" t="s">
        <v>167</v>
      </c>
      <c r="P8" s="34" t="s">
        <v>18</v>
      </c>
      <c r="Q8" s="34" t="s">
        <v>19</v>
      </c>
      <c r="R8" s="34" t="s">
        <v>20</v>
      </c>
      <c r="S8" s="34" t="s">
        <v>21</v>
      </c>
      <c r="T8" s="34" t="s">
        <v>10</v>
      </c>
      <c r="U8" s="34" t="s">
        <v>22</v>
      </c>
      <c r="V8" s="34" t="s">
        <v>23</v>
      </c>
      <c r="W8" s="34" t="s">
        <v>24</v>
      </c>
      <c r="X8" s="34" t="s">
        <v>25</v>
      </c>
      <c r="Y8" s="34" t="s">
        <v>26</v>
      </c>
      <c r="Z8" s="34" t="s">
        <v>27</v>
      </c>
      <c r="AA8" s="50" t="s">
        <v>28</v>
      </c>
      <c r="AB8" s="50"/>
      <c r="AC8" s="34" t="s">
        <v>29</v>
      </c>
      <c r="AD8" s="51" t="s">
        <v>30</v>
      </c>
      <c r="AE8" s="37" t="s">
        <v>17</v>
      </c>
      <c r="AF8" s="34" t="s">
        <v>167</v>
      </c>
      <c r="AG8" s="34" t="s">
        <v>18</v>
      </c>
      <c r="AH8" s="34" t="s">
        <v>19</v>
      </c>
      <c r="AI8" s="34" t="s">
        <v>20</v>
      </c>
      <c r="AJ8" s="34" t="s">
        <v>21</v>
      </c>
      <c r="AK8" s="34" t="s">
        <v>10</v>
      </c>
      <c r="AL8" s="34" t="s">
        <v>22</v>
      </c>
      <c r="AM8" s="34" t="s">
        <v>23</v>
      </c>
      <c r="AN8" s="34" t="s">
        <v>24</v>
      </c>
      <c r="AO8" s="34" t="s">
        <v>25</v>
      </c>
      <c r="AP8" s="34" t="s">
        <v>26</v>
      </c>
      <c r="AQ8" s="34" t="s">
        <v>27</v>
      </c>
      <c r="AR8" s="50" t="s">
        <v>28</v>
      </c>
      <c r="AS8" s="50"/>
      <c r="AT8" s="34" t="s">
        <v>29</v>
      </c>
      <c r="AU8" s="51" t="s">
        <v>30</v>
      </c>
      <c r="AV8" s="37" t="s">
        <v>17</v>
      </c>
      <c r="AW8" s="34" t="s">
        <v>167</v>
      </c>
      <c r="AX8" s="34" t="s">
        <v>18</v>
      </c>
      <c r="AY8" s="34" t="s">
        <v>19</v>
      </c>
      <c r="AZ8" s="34" t="s">
        <v>20</v>
      </c>
      <c r="BA8" s="34" t="s">
        <v>21</v>
      </c>
      <c r="BB8" s="34" t="s">
        <v>10</v>
      </c>
      <c r="BC8" s="34" t="s">
        <v>22</v>
      </c>
      <c r="BD8" s="34" t="s">
        <v>23</v>
      </c>
      <c r="BE8" s="34" t="s">
        <v>24</v>
      </c>
      <c r="BF8" s="34" t="s">
        <v>25</v>
      </c>
      <c r="BG8" s="34" t="s">
        <v>26</v>
      </c>
      <c r="BH8" s="34" t="s">
        <v>27</v>
      </c>
      <c r="BI8" s="50" t="s">
        <v>28</v>
      </c>
      <c r="BJ8" s="50"/>
      <c r="BK8" s="34" t="s">
        <v>29</v>
      </c>
      <c r="BL8" s="51" t="s">
        <v>30</v>
      </c>
      <c r="BM8" s="43"/>
      <c r="BN8" s="45"/>
      <c r="BO8" s="40"/>
      <c r="BP8" s="41"/>
      <c r="BQ8" s="41"/>
      <c r="BR8" s="48"/>
      <c r="BS8" s="49"/>
      <c r="BT8" s="49"/>
      <c r="BU8" s="48"/>
      <c r="BV8" s="49"/>
      <c r="BW8" s="49"/>
      <c r="BX8" s="48"/>
      <c r="BY8" s="49"/>
      <c r="BZ8" s="49"/>
      <c r="CA8" s="48"/>
      <c r="CB8" s="49"/>
      <c r="CC8" s="49"/>
      <c r="CD8" s="40"/>
      <c r="CE8" s="41"/>
      <c r="CF8" s="42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</row>
    <row r="9" spans="1:111" ht="45" x14ac:dyDescent="0.2">
      <c r="A9" s="62"/>
      <c r="B9" s="65"/>
      <c r="C9" s="54"/>
      <c r="D9" s="54"/>
      <c r="E9" s="54"/>
      <c r="F9" s="54"/>
      <c r="G9" s="54"/>
      <c r="H9" s="54"/>
      <c r="I9" s="54"/>
      <c r="J9" s="54"/>
      <c r="K9" s="54"/>
      <c r="L9" s="54"/>
      <c r="M9" s="57"/>
      <c r="N9" s="38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4" t="s">
        <v>31</v>
      </c>
      <c r="AB9" s="34" t="s">
        <v>32</v>
      </c>
      <c r="AC9" s="35"/>
      <c r="AD9" s="52"/>
      <c r="AE9" s="38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4" t="s">
        <v>31</v>
      </c>
      <c r="AS9" s="34" t="s">
        <v>32</v>
      </c>
      <c r="AT9" s="35"/>
      <c r="AU9" s="52"/>
      <c r="AV9" s="38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4" t="s">
        <v>31</v>
      </c>
      <c r="BJ9" s="34" t="s">
        <v>32</v>
      </c>
      <c r="BK9" s="35"/>
      <c r="BL9" s="52"/>
      <c r="BM9" s="43"/>
      <c r="BN9" s="45"/>
      <c r="BO9" s="7" t="s">
        <v>148</v>
      </c>
      <c r="BP9" s="8" t="s">
        <v>149</v>
      </c>
      <c r="BQ9" s="8" t="s">
        <v>150</v>
      </c>
      <c r="BR9" s="10" t="s">
        <v>148</v>
      </c>
      <c r="BS9" s="9" t="s">
        <v>149</v>
      </c>
      <c r="BT9" s="9" t="s">
        <v>150</v>
      </c>
      <c r="BU9" s="10" t="s">
        <v>148</v>
      </c>
      <c r="BV9" s="9" t="s">
        <v>149</v>
      </c>
      <c r="BW9" s="9" t="s">
        <v>150</v>
      </c>
      <c r="BX9" s="10" t="s">
        <v>148</v>
      </c>
      <c r="BY9" s="9" t="s">
        <v>149</v>
      </c>
      <c r="BZ9" s="9" t="s">
        <v>150</v>
      </c>
      <c r="CA9" s="10" t="s">
        <v>148</v>
      </c>
      <c r="CB9" s="9" t="s">
        <v>149</v>
      </c>
      <c r="CC9" s="9" t="s">
        <v>150</v>
      </c>
      <c r="CD9" s="7" t="s">
        <v>148</v>
      </c>
      <c r="CE9" s="8" t="s">
        <v>149</v>
      </c>
      <c r="CF9" s="11" t="s">
        <v>150</v>
      </c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</row>
    <row r="10" spans="1:111" ht="12" customHeight="1" thickBot="1" x14ac:dyDescent="0.25">
      <c r="A10" s="63"/>
      <c r="B10" s="6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8"/>
      <c r="N10" s="38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52"/>
      <c r="AE10" s="38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52"/>
      <c r="AV10" s="38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52"/>
      <c r="BM10" s="43"/>
      <c r="BN10" s="46"/>
      <c r="BO10" s="12" t="s">
        <v>33</v>
      </c>
      <c r="BP10" s="13" t="s">
        <v>34</v>
      </c>
      <c r="BQ10" s="13" t="s">
        <v>151</v>
      </c>
      <c r="BR10" s="15" t="s">
        <v>33</v>
      </c>
      <c r="BS10" s="14" t="s">
        <v>34</v>
      </c>
      <c r="BT10" s="14" t="s">
        <v>151</v>
      </c>
      <c r="BU10" s="15" t="s">
        <v>33</v>
      </c>
      <c r="BV10" s="14" t="s">
        <v>34</v>
      </c>
      <c r="BW10" s="14" t="s">
        <v>151</v>
      </c>
      <c r="BX10" s="15" t="s">
        <v>33</v>
      </c>
      <c r="BY10" s="14" t="s">
        <v>34</v>
      </c>
      <c r="BZ10" s="14" t="s">
        <v>151</v>
      </c>
      <c r="CA10" s="15" t="s">
        <v>33</v>
      </c>
      <c r="CB10" s="14" t="s">
        <v>34</v>
      </c>
      <c r="CC10" s="14" t="s">
        <v>151</v>
      </c>
      <c r="CD10" s="12" t="s">
        <v>33</v>
      </c>
      <c r="CE10" s="13" t="s">
        <v>34</v>
      </c>
      <c r="CF10" s="16" t="s">
        <v>151</v>
      </c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</row>
    <row r="11" spans="1:111" s="6" customFormat="1" ht="12" thickBot="1" x14ac:dyDescent="0.25">
      <c r="A11" s="4" t="s">
        <v>35</v>
      </c>
      <c r="B11" s="5" t="s">
        <v>36</v>
      </c>
      <c r="C11" s="5" t="s">
        <v>37</v>
      </c>
      <c r="D11" s="5" t="s">
        <v>38</v>
      </c>
      <c r="E11" s="5" t="s">
        <v>39</v>
      </c>
      <c r="F11" s="5" t="s">
        <v>40</v>
      </c>
      <c r="G11" s="5" t="s">
        <v>41</v>
      </c>
      <c r="H11" s="5" t="s">
        <v>42</v>
      </c>
      <c r="I11" s="5" t="s">
        <v>43</v>
      </c>
      <c r="J11" s="5" t="s">
        <v>44</v>
      </c>
      <c r="K11" s="5" t="s">
        <v>45</v>
      </c>
      <c r="L11" s="5" t="s">
        <v>46</v>
      </c>
      <c r="M11" s="5" t="s">
        <v>47</v>
      </c>
      <c r="N11" s="5" t="s">
        <v>48</v>
      </c>
      <c r="O11" s="5" t="s">
        <v>49</v>
      </c>
      <c r="P11" s="5" t="s">
        <v>50</v>
      </c>
      <c r="Q11" s="5" t="s">
        <v>51</v>
      </c>
      <c r="R11" s="5" t="s">
        <v>52</v>
      </c>
      <c r="S11" s="5" t="s">
        <v>53</v>
      </c>
      <c r="T11" s="5" t="s">
        <v>54</v>
      </c>
      <c r="U11" s="5" t="s">
        <v>55</v>
      </c>
      <c r="V11" s="5" t="s">
        <v>56</v>
      </c>
      <c r="W11" s="5" t="s">
        <v>57</v>
      </c>
      <c r="X11" s="5" t="s">
        <v>58</v>
      </c>
      <c r="Y11" s="5" t="s">
        <v>59</v>
      </c>
      <c r="Z11" s="5" t="s">
        <v>60</v>
      </c>
      <c r="AA11" s="5" t="s">
        <v>61</v>
      </c>
      <c r="AB11" s="5" t="s">
        <v>62</v>
      </c>
      <c r="AC11" s="5" t="s">
        <v>63</v>
      </c>
      <c r="AD11" s="5" t="s">
        <v>64</v>
      </c>
      <c r="AE11" s="5" t="s">
        <v>65</v>
      </c>
      <c r="AF11" s="5" t="s">
        <v>66</v>
      </c>
      <c r="AG11" s="5" t="s">
        <v>67</v>
      </c>
      <c r="AH11" s="5" t="s">
        <v>68</v>
      </c>
      <c r="AI11" s="5" t="s">
        <v>69</v>
      </c>
      <c r="AJ11" s="5" t="s">
        <v>70</v>
      </c>
      <c r="AK11" s="5" t="s">
        <v>71</v>
      </c>
      <c r="AL11" s="5" t="s">
        <v>72</v>
      </c>
      <c r="AM11" s="5" t="s">
        <v>73</v>
      </c>
      <c r="AN11" s="5" t="s">
        <v>74</v>
      </c>
      <c r="AO11" s="5" t="s">
        <v>75</v>
      </c>
      <c r="AP11" s="5" t="s">
        <v>76</v>
      </c>
      <c r="AQ11" s="5" t="s">
        <v>77</v>
      </c>
      <c r="AR11" s="5" t="s">
        <v>78</v>
      </c>
      <c r="AS11" s="5" t="s">
        <v>79</v>
      </c>
      <c r="AT11" s="5" t="s">
        <v>80</v>
      </c>
      <c r="AU11" s="5" t="s">
        <v>81</v>
      </c>
      <c r="AV11" s="5" t="s">
        <v>65</v>
      </c>
      <c r="AW11" s="5" t="s">
        <v>66</v>
      </c>
      <c r="AX11" s="5" t="s">
        <v>67</v>
      </c>
      <c r="AY11" s="5" t="s">
        <v>68</v>
      </c>
      <c r="AZ11" s="5" t="s">
        <v>69</v>
      </c>
      <c r="BA11" s="5" t="s">
        <v>70</v>
      </c>
      <c r="BB11" s="5" t="s">
        <v>71</v>
      </c>
      <c r="BC11" s="5" t="s">
        <v>72</v>
      </c>
      <c r="BD11" s="5" t="s">
        <v>73</v>
      </c>
      <c r="BE11" s="5" t="s">
        <v>74</v>
      </c>
      <c r="BF11" s="5" t="s">
        <v>75</v>
      </c>
      <c r="BG11" s="5" t="s">
        <v>76</v>
      </c>
      <c r="BH11" s="5" t="s">
        <v>77</v>
      </c>
      <c r="BI11" s="5" t="s">
        <v>78</v>
      </c>
      <c r="BJ11" s="5" t="s">
        <v>79</v>
      </c>
      <c r="BK11" s="5" t="s">
        <v>80</v>
      </c>
      <c r="BL11" s="5" t="s">
        <v>81</v>
      </c>
      <c r="BM11" s="5" t="s">
        <v>82</v>
      </c>
      <c r="BN11" s="5" t="s">
        <v>83</v>
      </c>
      <c r="BO11" s="5" t="s">
        <v>84</v>
      </c>
      <c r="BP11" s="5" t="s">
        <v>85</v>
      </c>
      <c r="BQ11" s="5" t="s">
        <v>86</v>
      </c>
      <c r="BR11" s="5" t="s">
        <v>87</v>
      </c>
      <c r="BS11" s="5" t="s">
        <v>88</v>
      </c>
      <c r="BT11" s="5" t="s">
        <v>89</v>
      </c>
      <c r="BU11" s="5" t="s">
        <v>90</v>
      </c>
      <c r="BV11" s="5" t="s">
        <v>91</v>
      </c>
      <c r="BW11" s="5" t="s">
        <v>92</v>
      </c>
      <c r="BX11" s="5" t="s">
        <v>93</v>
      </c>
      <c r="BY11" s="5" t="s">
        <v>94</v>
      </c>
      <c r="BZ11" s="5" t="s">
        <v>95</v>
      </c>
      <c r="CA11" s="5" t="s">
        <v>96</v>
      </c>
      <c r="CB11" s="5" t="s">
        <v>97</v>
      </c>
      <c r="CC11" s="5" t="s">
        <v>98</v>
      </c>
      <c r="CD11" s="5" t="s">
        <v>99</v>
      </c>
      <c r="CE11" s="5" t="s">
        <v>100</v>
      </c>
      <c r="CF11" s="5" t="s">
        <v>101</v>
      </c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</row>
    <row r="12" spans="1:111" s="27" customFormat="1" ht="112.5" x14ac:dyDescent="0.2">
      <c r="A12" s="19">
        <v>1</v>
      </c>
      <c r="B12" s="20"/>
      <c r="C12" s="19" t="s">
        <v>137</v>
      </c>
      <c r="D12" s="20" t="s">
        <v>102</v>
      </c>
      <c r="E12" s="20" t="s">
        <v>104</v>
      </c>
      <c r="F12" s="20" t="s">
        <v>105</v>
      </c>
      <c r="G12" s="20" t="s">
        <v>106</v>
      </c>
      <c r="H12" s="20"/>
      <c r="I12" s="20" t="s">
        <v>107</v>
      </c>
      <c r="J12" s="20" t="s">
        <v>108</v>
      </c>
      <c r="K12" s="21" t="s">
        <v>103</v>
      </c>
      <c r="L12" s="22">
        <v>1000</v>
      </c>
      <c r="M12" s="22">
        <v>1000</v>
      </c>
      <c r="N12" s="20" t="s">
        <v>177</v>
      </c>
      <c r="O12" s="20" t="s">
        <v>152</v>
      </c>
      <c r="P12" s="20" t="s">
        <v>175</v>
      </c>
      <c r="Q12" s="26">
        <v>46054</v>
      </c>
      <c r="R12" s="26">
        <f t="shared" ref="R12:R18" si="0">Q12+90</f>
        <v>46144</v>
      </c>
      <c r="S12" s="20" t="s">
        <v>153</v>
      </c>
      <c r="T12" s="21" t="s">
        <v>103</v>
      </c>
      <c r="U12" s="23"/>
      <c r="V12" s="23"/>
      <c r="W12" s="20" t="s">
        <v>33</v>
      </c>
      <c r="X12" s="24">
        <v>0</v>
      </c>
      <c r="Y12" s="24">
        <v>0</v>
      </c>
      <c r="Z12" s="24">
        <v>0</v>
      </c>
      <c r="AA12" s="24">
        <v>0</v>
      </c>
      <c r="AB12" s="20"/>
      <c r="AC12" s="24">
        <v>0</v>
      </c>
      <c r="AD12" s="24">
        <f t="shared" ref="AD12:AD18" si="1">X12+Y12+Z12+AA12+AC12</f>
        <v>0</v>
      </c>
      <c r="AE12" s="20"/>
      <c r="AF12" s="20"/>
      <c r="AG12" s="20"/>
      <c r="AH12" s="20"/>
      <c r="AI12" s="20"/>
      <c r="AJ12" s="20"/>
      <c r="AK12" s="21"/>
      <c r="AL12" s="23"/>
      <c r="AM12" s="23"/>
      <c r="AN12" s="20"/>
      <c r="AO12" s="23"/>
      <c r="AP12" s="23"/>
      <c r="AQ12" s="23"/>
      <c r="AR12" s="23"/>
      <c r="AS12" s="20"/>
      <c r="AT12" s="23"/>
      <c r="AU12" s="23"/>
      <c r="AV12" s="20"/>
      <c r="AW12" s="20"/>
      <c r="AX12" s="20"/>
      <c r="AY12" s="20"/>
      <c r="AZ12" s="20"/>
      <c r="BA12" s="20"/>
      <c r="BB12" s="21"/>
      <c r="BC12" s="23"/>
      <c r="BD12" s="23"/>
      <c r="BE12" s="20"/>
      <c r="BF12" s="23"/>
      <c r="BG12" s="23"/>
      <c r="BH12" s="23"/>
      <c r="BI12" s="23"/>
      <c r="BJ12" s="20"/>
      <c r="BK12" s="23"/>
      <c r="BL12" s="23"/>
      <c r="BM12" s="27">
        <f t="shared" ref="BM12:BM18" si="2">COUNTA(AE12,N12)</f>
        <v>1</v>
      </c>
      <c r="BN12" s="27">
        <f t="shared" ref="BN12:BN18" si="3">COUNTA(AE12,N12)</f>
        <v>1</v>
      </c>
      <c r="BO12" s="29">
        <f t="shared" ref="BO12:BO18" si="4">AVERAGE(AO12,X12)</f>
        <v>0</v>
      </c>
      <c r="BP12" s="31">
        <f t="shared" ref="BP12:BP18" si="5">BO12/1+N("КУРС")</f>
        <v>0</v>
      </c>
      <c r="BQ12" s="31">
        <f t="shared" ref="BQ12:BQ18" si="6">BO12/1+N("КУРС")</f>
        <v>0</v>
      </c>
      <c r="BR12" s="29">
        <f t="shared" ref="BR12:BR18" si="7">AVERAGE(AP12,Y12)</f>
        <v>0</v>
      </c>
      <c r="BS12" s="31">
        <f t="shared" ref="BS12:BS18" si="8">BR12/1+N("КУРС")</f>
        <v>0</v>
      </c>
      <c r="BT12" s="31">
        <f t="shared" ref="BT12" si="9">BR12/1+N("КУРС")</f>
        <v>0</v>
      </c>
      <c r="BU12" s="29">
        <f t="shared" ref="BU12:BU18" si="10">AVERAGE(AQ12,Z12)</f>
        <v>0</v>
      </c>
      <c r="BV12" s="31">
        <f t="shared" ref="BV12:BV18" si="11">BU12/1+N("КУРС")</f>
        <v>0</v>
      </c>
      <c r="BW12" s="31">
        <f t="shared" ref="BW12" si="12">BU12/1+N("КУРС")</f>
        <v>0</v>
      </c>
      <c r="BX12" s="29">
        <f t="shared" ref="BX12:BX18" si="13">AVERAGE(AR12,AA12)</f>
        <v>0</v>
      </c>
      <c r="BY12" s="31">
        <f t="shared" ref="BY12:BY18" si="14">BX12/1+N("КУРС")</f>
        <v>0</v>
      </c>
      <c r="BZ12" s="31">
        <f t="shared" ref="BZ12" si="15">BX12/1+N("КУРС")</f>
        <v>0</v>
      </c>
      <c r="CA12" s="29">
        <f t="shared" ref="CA12:CA18" si="16">AVERAGE(AT12,AC12)</f>
        <v>0</v>
      </c>
      <c r="CB12" s="31">
        <f t="shared" ref="CB12:CB18" si="17">CA12/1+N("КУРС")</f>
        <v>0</v>
      </c>
      <c r="CC12" s="31">
        <f t="shared" ref="CC12" si="18">CA12/1+N("КУРС")</f>
        <v>0</v>
      </c>
      <c r="CD12" s="29">
        <f t="shared" ref="CD12:CF18" si="19">BO12+BR12+BU12+BX12+CA12</f>
        <v>0</v>
      </c>
      <c r="CE12" s="29">
        <f t="shared" si="19"/>
        <v>0</v>
      </c>
      <c r="CF12" s="29">
        <f t="shared" si="19"/>
        <v>0</v>
      </c>
    </row>
    <row r="13" spans="1:111" s="27" customFormat="1" ht="56.25" x14ac:dyDescent="0.2">
      <c r="A13" s="19">
        <v>2</v>
      </c>
      <c r="B13" s="20"/>
      <c r="C13" s="19" t="s">
        <v>138</v>
      </c>
      <c r="D13" s="20" t="s">
        <v>102</v>
      </c>
      <c r="E13" s="20" t="s">
        <v>109</v>
      </c>
      <c r="F13" s="20" t="s">
        <v>110</v>
      </c>
      <c r="G13" s="20" t="s">
        <v>111</v>
      </c>
      <c r="H13" s="20"/>
      <c r="I13" s="20" t="s">
        <v>111</v>
      </c>
      <c r="J13" s="20" t="s">
        <v>112</v>
      </c>
      <c r="K13" s="21" t="s">
        <v>103</v>
      </c>
      <c r="L13" s="22">
        <v>1000</v>
      </c>
      <c r="M13" s="22">
        <v>1000</v>
      </c>
      <c r="N13" s="20" t="s">
        <v>178</v>
      </c>
      <c r="O13" s="20" t="s">
        <v>154</v>
      </c>
      <c r="P13" s="20" t="s">
        <v>176</v>
      </c>
      <c r="Q13" s="26">
        <v>46054</v>
      </c>
      <c r="R13" s="26">
        <f t="shared" si="0"/>
        <v>46144</v>
      </c>
      <c r="S13" s="20" t="s">
        <v>155</v>
      </c>
      <c r="T13" s="21" t="s">
        <v>103</v>
      </c>
      <c r="U13" s="23"/>
      <c r="V13" s="23"/>
      <c r="W13" s="20" t="s">
        <v>33</v>
      </c>
      <c r="X13" s="24">
        <v>0</v>
      </c>
      <c r="Y13" s="24">
        <v>0</v>
      </c>
      <c r="Z13" s="24">
        <v>0</v>
      </c>
      <c r="AA13" s="24">
        <v>0</v>
      </c>
      <c r="AB13" s="20"/>
      <c r="AC13" s="24">
        <v>0</v>
      </c>
      <c r="AD13" s="24">
        <f t="shared" si="1"/>
        <v>0</v>
      </c>
      <c r="AE13" s="20"/>
      <c r="AF13" s="20"/>
      <c r="AG13" s="20"/>
      <c r="AH13" s="20"/>
      <c r="AI13" s="20"/>
      <c r="AJ13" s="20"/>
      <c r="AK13" s="21"/>
      <c r="AL13" s="23"/>
      <c r="AM13" s="23"/>
      <c r="AN13" s="20"/>
      <c r="AO13" s="24"/>
      <c r="AP13" s="23"/>
      <c r="AQ13" s="23"/>
      <c r="AR13" s="23"/>
      <c r="AS13" s="20"/>
      <c r="AT13" s="24"/>
      <c r="AU13" s="24"/>
      <c r="AV13" s="20"/>
      <c r="AW13" s="20"/>
      <c r="AX13" s="20"/>
      <c r="AY13" s="20"/>
      <c r="AZ13" s="20"/>
      <c r="BA13" s="20"/>
      <c r="BB13" s="21"/>
      <c r="BC13" s="23"/>
      <c r="BD13" s="23"/>
      <c r="BE13" s="20"/>
      <c r="BF13" s="24"/>
      <c r="BG13" s="23"/>
      <c r="BH13" s="23"/>
      <c r="BI13" s="23"/>
      <c r="BJ13" s="20"/>
      <c r="BK13" s="24"/>
      <c r="BL13" s="24"/>
      <c r="BM13" s="27">
        <f t="shared" si="2"/>
        <v>1</v>
      </c>
      <c r="BN13" s="27">
        <f t="shared" si="3"/>
        <v>1</v>
      </c>
      <c r="BO13" s="29">
        <f t="shared" si="4"/>
        <v>0</v>
      </c>
      <c r="BP13" s="31">
        <f t="shared" si="5"/>
        <v>0</v>
      </c>
      <c r="BQ13" s="31">
        <f t="shared" si="6"/>
        <v>0</v>
      </c>
      <c r="BR13" s="29">
        <f t="shared" si="7"/>
        <v>0</v>
      </c>
      <c r="BS13" s="31">
        <f t="shared" si="8"/>
        <v>0</v>
      </c>
      <c r="BT13" s="31">
        <f t="shared" ref="BT13:BT18" si="20">BR13/1+N("КУРС")</f>
        <v>0</v>
      </c>
      <c r="BU13" s="29">
        <f t="shared" si="10"/>
        <v>0</v>
      </c>
      <c r="BV13" s="31">
        <f t="shared" si="11"/>
        <v>0</v>
      </c>
      <c r="BW13" s="31">
        <f t="shared" ref="BW13:BW18" si="21">BU13/1+N("КУРС")</f>
        <v>0</v>
      </c>
      <c r="BX13" s="29">
        <f t="shared" si="13"/>
        <v>0</v>
      </c>
      <c r="BY13" s="31">
        <f t="shared" si="14"/>
        <v>0</v>
      </c>
      <c r="BZ13" s="31">
        <f t="shared" ref="BZ13:BZ18" si="22">BX13/1+N("КУРС")</f>
        <v>0</v>
      </c>
      <c r="CA13" s="29">
        <f t="shared" si="16"/>
        <v>0</v>
      </c>
      <c r="CB13" s="31">
        <f t="shared" si="17"/>
        <v>0</v>
      </c>
      <c r="CC13" s="31">
        <f t="shared" ref="CC13:CC18" si="23">CA13/1+N("КУРС")</f>
        <v>0</v>
      </c>
      <c r="CD13" s="29">
        <f t="shared" si="19"/>
        <v>0</v>
      </c>
      <c r="CE13" s="29">
        <f t="shared" si="19"/>
        <v>0</v>
      </c>
      <c r="CF13" s="29">
        <f t="shared" si="19"/>
        <v>0</v>
      </c>
    </row>
    <row r="14" spans="1:111" s="27" customFormat="1" ht="78.75" x14ac:dyDescent="0.2">
      <c r="A14" s="19">
        <v>3</v>
      </c>
      <c r="B14" s="20"/>
      <c r="C14" s="19" t="s">
        <v>139</v>
      </c>
      <c r="D14" s="20" t="s">
        <v>102</v>
      </c>
      <c r="E14" s="20" t="s">
        <v>114</v>
      </c>
      <c r="F14" s="20" t="s">
        <v>115</v>
      </c>
      <c r="G14" s="20" t="s">
        <v>117</v>
      </c>
      <c r="H14" s="20"/>
      <c r="I14" s="20" t="s">
        <v>118</v>
      </c>
      <c r="J14" s="20" t="s">
        <v>116</v>
      </c>
      <c r="K14" s="21" t="s">
        <v>103</v>
      </c>
      <c r="L14" s="22">
        <v>1000</v>
      </c>
      <c r="M14" s="22">
        <v>1000</v>
      </c>
      <c r="N14" s="20" t="s">
        <v>179</v>
      </c>
      <c r="O14" s="20" t="s">
        <v>156</v>
      </c>
      <c r="P14" s="20" t="s">
        <v>157</v>
      </c>
      <c r="Q14" s="26">
        <v>46023</v>
      </c>
      <c r="R14" s="26">
        <f t="shared" si="0"/>
        <v>46113</v>
      </c>
      <c r="S14" s="20" t="s">
        <v>158</v>
      </c>
      <c r="T14" s="21" t="s">
        <v>103</v>
      </c>
      <c r="U14" s="23"/>
      <c r="V14" s="23"/>
      <c r="W14" s="20" t="s">
        <v>33</v>
      </c>
      <c r="X14" s="24">
        <v>0</v>
      </c>
      <c r="Y14" s="24">
        <v>0</v>
      </c>
      <c r="Z14" s="24">
        <v>0</v>
      </c>
      <c r="AA14" s="24">
        <v>0</v>
      </c>
      <c r="AB14" s="20"/>
      <c r="AC14" s="25">
        <v>0</v>
      </c>
      <c r="AD14" s="24">
        <f t="shared" si="1"/>
        <v>0</v>
      </c>
      <c r="AE14" s="20"/>
      <c r="AF14" s="20"/>
      <c r="AG14" s="20"/>
      <c r="AH14" s="20"/>
      <c r="AI14" s="20"/>
      <c r="AJ14" s="20"/>
      <c r="AK14" s="21"/>
      <c r="AL14" s="23"/>
      <c r="AM14" s="23"/>
      <c r="AN14" s="20"/>
      <c r="AO14" s="23"/>
      <c r="AP14" s="23"/>
      <c r="AQ14" s="23"/>
      <c r="AR14" s="23"/>
      <c r="AS14" s="20"/>
      <c r="AT14" s="23"/>
      <c r="AU14" s="23"/>
      <c r="AV14" s="20"/>
      <c r="AW14" s="20"/>
      <c r="AX14" s="20"/>
      <c r="AY14" s="20"/>
      <c r="AZ14" s="20"/>
      <c r="BA14" s="20"/>
      <c r="BB14" s="21"/>
      <c r="BC14" s="23"/>
      <c r="BD14" s="23"/>
      <c r="BE14" s="20"/>
      <c r="BF14" s="23"/>
      <c r="BG14" s="23"/>
      <c r="BH14" s="23"/>
      <c r="BI14" s="23"/>
      <c r="BJ14" s="20"/>
      <c r="BK14" s="23"/>
      <c r="BL14" s="23"/>
      <c r="BM14" s="27">
        <f t="shared" si="2"/>
        <v>1</v>
      </c>
      <c r="BN14" s="27">
        <f t="shared" si="3"/>
        <v>1</v>
      </c>
      <c r="BO14" s="29">
        <f t="shared" si="4"/>
        <v>0</v>
      </c>
      <c r="BP14" s="31">
        <f t="shared" si="5"/>
        <v>0</v>
      </c>
      <c r="BQ14" s="31">
        <f t="shared" si="6"/>
        <v>0</v>
      </c>
      <c r="BR14" s="29">
        <f t="shared" si="7"/>
        <v>0</v>
      </c>
      <c r="BS14" s="31">
        <f t="shared" si="8"/>
        <v>0</v>
      </c>
      <c r="BT14" s="31">
        <f t="shared" si="20"/>
        <v>0</v>
      </c>
      <c r="BU14" s="29">
        <f t="shared" si="10"/>
        <v>0</v>
      </c>
      <c r="BV14" s="31">
        <f t="shared" si="11"/>
        <v>0</v>
      </c>
      <c r="BW14" s="31">
        <f t="shared" si="21"/>
        <v>0</v>
      </c>
      <c r="BX14" s="29">
        <f t="shared" si="13"/>
        <v>0</v>
      </c>
      <c r="BY14" s="31">
        <f t="shared" si="14"/>
        <v>0</v>
      </c>
      <c r="BZ14" s="31">
        <f t="shared" si="22"/>
        <v>0</v>
      </c>
      <c r="CA14" s="29">
        <f t="shared" si="16"/>
        <v>0</v>
      </c>
      <c r="CB14" s="31">
        <f t="shared" si="17"/>
        <v>0</v>
      </c>
      <c r="CC14" s="31">
        <f t="shared" si="23"/>
        <v>0</v>
      </c>
      <c r="CD14" s="29">
        <f t="shared" si="19"/>
        <v>0</v>
      </c>
      <c r="CE14" s="29">
        <f t="shared" si="19"/>
        <v>0</v>
      </c>
      <c r="CF14" s="29">
        <f t="shared" si="19"/>
        <v>0</v>
      </c>
    </row>
    <row r="15" spans="1:111" s="27" customFormat="1" ht="78.75" x14ac:dyDescent="0.2">
      <c r="A15" s="19">
        <v>4</v>
      </c>
      <c r="B15" s="20"/>
      <c r="C15" s="19" t="s">
        <v>139</v>
      </c>
      <c r="D15" s="20" t="s">
        <v>102</v>
      </c>
      <c r="E15" s="20" t="s">
        <v>114</v>
      </c>
      <c r="F15" s="20" t="s">
        <v>115</v>
      </c>
      <c r="G15" s="20" t="s">
        <v>119</v>
      </c>
      <c r="H15" s="20"/>
      <c r="I15" s="20" t="s">
        <v>120</v>
      </c>
      <c r="J15" s="20" t="s">
        <v>116</v>
      </c>
      <c r="K15" s="21" t="s">
        <v>103</v>
      </c>
      <c r="L15" s="22">
        <v>1000</v>
      </c>
      <c r="M15" s="22">
        <v>1000</v>
      </c>
      <c r="N15" s="20" t="s">
        <v>179</v>
      </c>
      <c r="O15" s="20" t="s">
        <v>156</v>
      </c>
      <c r="P15" s="20" t="s">
        <v>157</v>
      </c>
      <c r="Q15" s="26">
        <v>46023</v>
      </c>
      <c r="R15" s="26">
        <f t="shared" si="0"/>
        <v>46113</v>
      </c>
      <c r="S15" s="20" t="s">
        <v>159</v>
      </c>
      <c r="T15" s="21" t="s">
        <v>103</v>
      </c>
      <c r="U15" s="23"/>
      <c r="V15" s="23"/>
      <c r="W15" s="20" t="s">
        <v>33</v>
      </c>
      <c r="X15" s="24">
        <v>0</v>
      </c>
      <c r="Y15" s="24">
        <v>0</v>
      </c>
      <c r="Z15" s="24">
        <v>0</v>
      </c>
      <c r="AA15" s="24">
        <v>0</v>
      </c>
      <c r="AB15" s="20"/>
      <c r="AC15" s="25">
        <v>0</v>
      </c>
      <c r="AD15" s="24">
        <f t="shared" si="1"/>
        <v>0</v>
      </c>
      <c r="AE15" s="20"/>
      <c r="AF15" s="20"/>
      <c r="AG15" s="20"/>
      <c r="AH15" s="20"/>
      <c r="AI15" s="20"/>
      <c r="AJ15" s="20"/>
      <c r="AK15" s="21"/>
      <c r="AL15" s="23"/>
      <c r="AM15" s="23"/>
      <c r="AN15" s="20"/>
      <c r="AO15" s="23"/>
      <c r="AP15" s="23"/>
      <c r="AQ15" s="23"/>
      <c r="AR15" s="23"/>
      <c r="AS15" s="20"/>
      <c r="AT15" s="23"/>
      <c r="AU15" s="23"/>
      <c r="AV15" s="20"/>
      <c r="AW15" s="20"/>
      <c r="AX15" s="20"/>
      <c r="AY15" s="20"/>
      <c r="AZ15" s="20"/>
      <c r="BA15" s="20"/>
      <c r="BB15" s="21"/>
      <c r="BC15" s="23"/>
      <c r="BD15" s="23"/>
      <c r="BE15" s="20"/>
      <c r="BF15" s="23"/>
      <c r="BG15" s="23"/>
      <c r="BH15" s="23"/>
      <c r="BI15" s="23"/>
      <c r="BJ15" s="20"/>
      <c r="BK15" s="23"/>
      <c r="BL15" s="23"/>
      <c r="BM15" s="27">
        <f t="shared" si="2"/>
        <v>1</v>
      </c>
      <c r="BN15" s="27">
        <f t="shared" si="3"/>
        <v>1</v>
      </c>
      <c r="BO15" s="29">
        <f t="shared" si="4"/>
        <v>0</v>
      </c>
      <c r="BP15" s="31">
        <f t="shared" si="5"/>
        <v>0</v>
      </c>
      <c r="BQ15" s="31">
        <f t="shared" si="6"/>
        <v>0</v>
      </c>
      <c r="BR15" s="29">
        <f t="shared" si="7"/>
        <v>0</v>
      </c>
      <c r="BS15" s="31">
        <f t="shared" si="8"/>
        <v>0</v>
      </c>
      <c r="BT15" s="31">
        <f t="shared" si="20"/>
        <v>0</v>
      </c>
      <c r="BU15" s="29">
        <f t="shared" si="10"/>
        <v>0</v>
      </c>
      <c r="BV15" s="31">
        <f t="shared" si="11"/>
        <v>0</v>
      </c>
      <c r="BW15" s="31">
        <f t="shared" si="21"/>
        <v>0</v>
      </c>
      <c r="BX15" s="29">
        <f t="shared" si="13"/>
        <v>0</v>
      </c>
      <c r="BY15" s="31">
        <f t="shared" si="14"/>
        <v>0</v>
      </c>
      <c r="BZ15" s="31">
        <f t="shared" si="22"/>
        <v>0</v>
      </c>
      <c r="CA15" s="29">
        <f t="shared" si="16"/>
        <v>0</v>
      </c>
      <c r="CB15" s="31">
        <f t="shared" si="17"/>
        <v>0</v>
      </c>
      <c r="CC15" s="31">
        <f t="shared" si="23"/>
        <v>0</v>
      </c>
      <c r="CD15" s="29">
        <f t="shared" si="19"/>
        <v>0</v>
      </c>
      <c r="CE15" s="29">
        <f t="shared" si="19"/>
        <v>0</v>
      </c>
      <c r="CF15" s="29">
        <f t="shared" si="19"/>
        <v>0</v>
      </c>
    </row>
    <row r="16" spans="1:111" s="27" customFormat="1" ht="78.75" x14ac:dyDescent="0.2">
      <c r="A16" s="19">
        <v>5</v>
      </c>
      <c r="B16" s="20"/>
      <c r="C16" s="19" t="s">
        <v>139</v>
      </c>
      <c r="D16" s="20" t="s">
        <v>102</v>
      </c>
      <c r="E16" s="20" t="s">
        <v>114</v>
      </c>
      <c r="F16" s="20" t="s">
        <v>115</v>
      </c>
      <c r="G16" s="20" t="s">
        <v>121</v>
      </c>
      <c r="H16" s="20"/>
      <c r="I16" s="20" t="s">
        <v>122</v>
      </c>
      <c r="J16" s="20" t="s">
        <v>116</v>
      </c>
      <c r="K16" s="21" t="s">
        <v>103</v>
      </c>
      <c r="L16" s="22">
        <v>1000</v>
      </c>
      <c r="M16" s="22">
        <v>1000</v>
      </c>
      <c r="N16" s="20" t="s">
        <v>179</v>
      </c>
      <c r="O16" s="20" t="s">
        <v>156</v>
      </c>
      <c r="P16" s="20" t="s">
        <v>157</v>
      </c>
      <c r="Q16" s="26">
        <v>46023</v>
      </c>
      <c r="R16" s="26">
        <f t="shared" si="0"/>
        <v>46113</v>
      </c>
      <c r="S16" s="20" t="s">
        <v>160</v>
      </c>
      <c r="T16" s="21" t="s">
        <v>103</v>
      </c>
      <c r="U16" s="23"/>
      <c r="V16" s="23"/>
      <c r="W16" s="20" t="s">
        <v>33</v>
      </c>
      <c r="X16" s="24">
        <v>0</v>
      </c>
      <c r="Y16" s="24">
        <v>0</v>
      </c>
      <c r="Z16" s="24">
        <v>0</v>
      </c>
      <c r="AA16" s="24">
        <v>0</v>
      </c>
      <c r="AB16" s="20"/>
      <c r="AC16" s="25">
        <v>0</v>
      </c>
      <c r="AD16" s="24">
        <f t="shared" si="1"/>
        <v>0</v>
      </c>
      <c r="AE16" s="20"/>
      <c r="AF16" s="20"/>
      <c r="AG16" s="20"/>
      <c r="AH16" s="20"/>
      <c r="AI16" s="20"/>
      <c r="AJ16" s="20"/>
      <c r="AK16" s="21"/>
      <c r="AL16" s="23"/>
      <c r="AM16" s="23"/>
      <c r="AN16" s="20"/>
      <c r="AO16" s="23"/>
      <c r="AP16" s="23"/>
      <c r="AQ16" s="23"/>
      <c r="AR16" s="23"/>
      <c r="AS16" s="20"/>
      <c r="AT16" s="23"/>
      <c r="AU16" s="23"/>
      <c r="AV16" s="20"/>
      <c r="AW16" s="20"/>
      <c r="AX16" s="20"/>
      <c r="AY16" s="20"/>
      <c r="AZ16" s="20"/>
      <c r="BA16" s="20"/>
      <c r="BB16" s="21"/>
      <c r="BC16" s="23"/>
      <c r="BD16" s="23"/>
      <c r="BE16" s="20"/>
      <c r="BF16" s="23"/>
      <c r="BG16" s="23"/>
      <c r="BH16" s="23"/>
      <c r="BI16" s="23"/>
      <c r="BJ16" s="20"/>
      <c r="BK16" s="23"/>
      <c r="BL16" s="23"/>
      <c r="BM16" s="28">
        <f t="shared" si="2"/>
        <v>1</v>
      </c>
      <c r="BN16" s="28">
        <f t="shared" si="3"/>
        <v>1</v>
      </c>
      <c r="BO16" s="30">
        <f t="shared" si="4"/>
        <v>0</v>
      </c>
      <c r="BP16" s="32">
        <f t="shared" si="5"/>
        <v>0</v>
      </c>
      <c r="BQ16" s="32">
        <f t="shared" si="6"/>
        <v>0</v>
      </c>
      <c r="BR16" s="29">
        <f t="shared" si="7"/>
        <v>0</v>
      </c>
      <c r="BS16" s="31">
        <f t="shared" si="8"/>
        <v>0</v>
      </c>
      <c r="BT16" s="31">
        <f t="shared" si="20"/>
        <v>0</v>
      </c>
      <c r="BU16" s="29">
        <f t="shared" si="10"/>
        <v>0</v>
      </c>
      <c r="BV16" s="31">
        <f t="shared" si="11"/>
        <v>0</v>
      </c>
      <c r="BW16" s="31">
        <f t="shared" si="21"/>
        <v>0</v>
      </c>
      <c r="BX16" s="29">
        <f t="shared" si="13"/>
        <v>0</v>
      </c>
      <c r="BY16" s="31">
        <f t="shared" si="14"/>
        <v>0</v>
      </c>
      <c r="BZ16" s="31">
        <f t="shared" si="22"/>
        <v>0</v>
      </c>
      <c r="CA16" s="29">
        <f t="shared" si="16"/>
        <v>0</v>
      </c>
      <c r="CB16" s="31">
        <f t="shared" si="17"/>
        <v>0</v>
      </c>
      <c r="CC16" s="31">
        <f t="shared" si="23"/>
        <v>0</v>
      </c>
      <c r="CD16" s="30">
        <f t="shared" si="19"/>
        <v>0</v>
      </c>
      <c r="CE16" s="30">
        <f t="shared" si="19"/>
        <v>0</v>
      </c>
      <c r="CF16" s="30">
        <f t="shared" si="19"/>
        <v>0</v>
      </c>
      <c r="CG16" s="28"/>
      <c r="CH16" s="28"/>
      <c r="CI16" s="28"/>
      <c r="CJ16" s="28"/>
      <c r="CK16" s="28"/>
      <c r="CL16" s="28"/>
      <c r="CM16" s="28"/>
      <c r="CN16" s="28"/>
      <c r="CO16" s="28"/>
      <c r="CP16" s="28"/>
      <c r="CQ16" s="28"/>
      <c r="CR16" s="28"/>
      <c r="CS16" s="28"/>
      <c r="CT16" s="28"/>
      <c r="CU16" s="28"/>
      <c r="CV16" s="28"/>
      <c r="CW16" s="28"/>
    </row>
    <row r="17" spans="1:101" s="27" customFormat="1" ht="101.25" x14ac:dyDescent="0.2">
      <c r="A17" s="19">
        <v>6</v>
      </c>
      <c r="B17" s="20"/>
      <c r="C17" s="19" t="s">
        <v>140</v>
      </c>
      <c r="D17" s="20" t="s">
        <v>102</v>
      </c>
      <c r="E17" s="20" t="s">
        <v>123</v>
      </c>
      <c r="F17" s="20" t="s">
        <v>124</v>
      </c>
      <c r="G17" s="20" t="s">
        <v>125</v>
      </c>
      <c r="H17" s="20" t="s">
        <v>126</v>
      </c>
      <c r="I17" s="20" t="s">
        <v>127</v>
      </c>
      <c r="J17" s="20" t="s">
        <v>128</v>
      </c>
      <c r="K17" s="21" t="s">
        <v>113</v>
      </c>
      <c r="L17" s="23">
        <v>1</v>
      </c>
      <c r="M17" s="23">
        <v>1</v>
      </c>
      <c r="N17" s="20" t="s">
        <v>180</v>
      </c>
      <c r="O17" s="20" t="s">
        <v>161</v>
      </c>
      <c r="P17" s="20" t="s">
        <v>162</v>
      </c>
      <c r="Q17" s="26">
        <v>46054</v>
      </c>
      <c r="R17" s="26">
        <f t="shared" si="0"/>
        <v>46144</v>
      </c>
      <c r="S17" s="20" t="s">
        <v>163</v>
      </c>
      <c r="T17" s="21" t="s">
        <v>113</v>
      </c>
      <c r="U17" s="23"/>
      <c r="V17" s="23"/>
      <c r="W17" s="20" t="s">
        <v>33</v>
      </c>
      <c r="X17" s="25">
        <v>0</v>
      </c>
      <c r="Y17" s="24">
        <v>0</v>
      </c>
      <c r="Z17" s="24">
        <v>0</v>
      </c>
      <c r="AA17" s="24">
        <v>0</v>
      </c>
      <c r="AB17" s="20"/>
      <c r="AC17" s="25">
        <v>0</v>
      </c>
      <c r="AD17" s="25">
        <f t="shared" si="1"/>
        <v>0</v>
      </c>
      <c r="AE17" s="20"/>
      <c r="AF17" s="20"/>
      <c r="AG17" s="20"/>
      <c r="AH17" s="20"/>
      <c r="AI17" s="20"/>
      <c r="AJ17" s="20"/>
      <c r="AK17" s="21"/>
      <c r="AL17" s="23"/>
      <c r="AM17" s="23"/>
      <c r="AN17" s="20"/>
      <c r="AO17" s="25"/>
      <c r="AP17" s="23"/>
      <c r="AQ17" s="23"/>
      <c r="AR17" s="23"/>
      <c r="AS17" s="20"/>
      <c r="AT17" s="23"/>
      <c r="AU17" s="25"/>
      <c r="AV17" s="20"/>
      <c r="AW17" s="20"/>
      <c r="AX17" s="20"/>
      <c r="AY17" s="20"/>
      <c r="AZ17" s="20"/>
      <c r="BA17" s="20"/>
      <c r="BB17" s="21"/>
      <c r="BC17" s="23"/>
      <c r="BD17" s="23"/>
      <c r="BE17" s="20"/>
      <c r="BF17" s="25"/>
      <c r="BG17" s="23"/>
      <c r="BH17" s="23"/>
      <c r="BI17" s="23"/>
      <c r="BJ17" s="20"/>
      <c r="BK17" s="23"/>
      <c r="BL17" s="25"/>
      <c r="BM17" s="28">
        <f t="shared" si="2"/>
        <v>1</v>
      </c>
      <c r="BN17" s="28">
        <f t="shared" si="3"/>
        <v>1</v>
      </c>
      <c r="BO17" s="30">
        <f t="shared" si="4"/>
        <v>0</v>
      </c>
      <c r="BP17" s="32">
        <f t="shared" si="5"/>
        <v>0</v>
      </c>
      <c r="BQ17" s="32">
        <f t="shared" si="6"/>
        <v>0</v>
      </c>
      <c r="BR17" s="29">
        <f t="shared" si="7"/>
        <v>0</v>
      </c>
      <c r="BS17" s="31">
        <f t="shared" si="8"/>
        <v>0</v>
      </c>
      <c r="BT17" s="31">
        <f t="shared" si="20"/>
        <v>0</v>
      </c>
      <c r="BU17" s="29">
        <f t="shared" si="10"/>
        <v>0</v>
      </c>
      <c r="BV17" s="31">
        <f t="shared" si="11"/>
        <v>0</v>
      </c>
      <c r="BW17" s="31">
        <f t="shared" si="21"/>
        <v>0</v>
      </c>
      <c r="BX17" s="29">
        <f t="shared" si="13"/>
        <v>0</v>
      </c>
      <c r="BY17" s="31">
        <f t="shared" si="14"/>
        <v>0</v>
      </c>
      <c r="BZ17" s="31">
        <f t="shared" si="22"/>
        <v>0</v>
      </c>
      <c r="CA17" s="29">
        <f t="shared" si="16"/>
        <v>0</v>
      </c>
      <c r="CB17" s="31">
        <f t="shared" si="17"/>
        <v>0</v>
      </c>
      <c r="CC17" s="31">
        <f t="shared" si="23"/>
        <v>0</v>
      </c>
      <c r="CD17" s="30">
        <f t="shared" si="19"/>
        <v>0</v>
      </c>
      <c r="CE17" s="30">
        <f t="shared" si="19"/>
        <v>0</v>
      </c>
      <c r="CF17" s="30">
        <f t="shared" si="19"/>
        <v>0</v>
      </c>
      <c r="CG17" s="28"/>
      <c r="CH17" s="28"/>
      <c r="CI17" s="28"/>
      <c r="CJ17" s="28"/>
      <c r="CK17" s="28"/>
      <c r="CL17" s="28"/>
      <c r="CM17" s="28"/>
      <c r="CN17" s="28"/>
      <c r="CO17" s="28"/>
      <c r="CP17" s="28"/>
      <c r="CQ17" s="28"/>
      <c r="CR17" s="28"/>
      <c r="CS17" s="28"/>
      <c r="CT17" s="28"/>
      <c r="CU17" s="28"/>
      <c r="CV17" s="28"/>
      <c r="CW17" s="28"/>
    </row>
    <row r="18" spans="1:101" s="27" customFormat="1" ht="67.5" x14ac:dyDescent="0.2">
      <c r="A18" s="19">
        <v>7</v>
      </c>
      <c r="B18" s="20"/>
      <c r="C18" s="19" t="s">
        <v>141</v>
      </c>
      <c r="D18" s="20" t="s">
        <v>102</v>
      </c>
      <c r="E18" s="20" t="s">
        <v>129</v>
      </c>
      <c r="F18" s="20" t="s">
        <v>130</v>
      </c>
      <c r="G18" s="20" t="s">
        <v>131</v>
      </c>
      <c r="H18" s="20"/>
      <c r="I18" s="20" t="s">
        <v>132</v>
      </c>
      <c r="J18" s="20" t="s">
        <v>133</v>
      </c>
      <c r="K18" s="21" t="s">
        <v>103</v>
      </c>
      <c r="L18" s="22">
        <v>1000</v>
      </c>
      <c r="M18" s="22">
        <v>1000</v>
      </c>
      <c r="N18" s="20" t="s">
        <v>181</v>
      </c>
      <c r="O18" s="20" t="s">
        <v>164</v>
      </c>
      <c r="P18" s="20" t="s">
        <v>165</v>
      </c>
      <c r="Q18" s="26">
        <v>46054</v>
      </c>
      <c r="R18" s="26">
        <f t="shared" si="0"/>
        <v>46144</v>
      </c>
      <c r="S18" s="20" t="s">
        <v>166</v>
      </c>
      <c r="T18" s="21" t="s">
        <v>103</v>
      </c>
      <c r="U18" s="23"/>
      <c r="V18" s="23"/>
      <c r="W18" s="20" t="s">
        <v>33</v>
      </c>
      <c r="X18" s="24">
        <v>0</v>
      </c>
      <c r="Y18" s="24">
        <v>0</v>
      </c>
      <c r="Z18" s="24">
        <v>0</v>
      </c>
      <c r="AA18" s="24">
        <v>0</v>
      </c>
      <c r="AB18" s="20"/>
      <c r="AC18" s="25">
        <v>0</v>
      </c>
      <c r="AD18" s="24">
        <f t="shared" si="1"/>
        <v>0</v>
      </c>
      <c r="AE18" s="20"/>
      <c r="AF18" s="20"/>
      <c r="AG18" s="20"/>
      <c r="AH18" s="20"/>
      <c r="AI18" s="20"/>
      <c r="AJ18" s="20"/>
      <c r="AK18" s="21"/>
      <c r="AL18" s="23"/>
      <c r="AM18" s="23"/>
      <c r="AN18" s="20"/>
      <c r="AO18" s="23"/>
      <c r="AP18" s="23"/>
      <c r="AQ18" s="23"/>
      <c r="AR18" s="23"/>
      <c r="AS18" s="20"/>
      <c r="AT18" s="23"/>
      <c r="AU18" s="23"/>
      <c r="AV18" s="20"/>
      <c r="AW18" s="20"/>
      <c r="AX18" s="20"/>
      <c r="AY18" s="20"/>
      <c r="AZ18" s="20"/>
      <c r="BA18" s="20"/>
      <c r="BB18" s="21"/>
      <c r="BC18" s="23"/>
      <c r="BD18" s="23"/>
      <c r="BE18" s="20"/>
      <c r="BF18" s="23"/>
      <c r="BG18" s="23"/>
      <c r="BH18" s="23"/>
      <c r="BI18" s="23"/>
      <c r="BJ18" s="20"/>
      <c r="BK18" s="23"/>
      <c r="BL18" s="23"/>
      <c r="BM18" s="28">
        <f t="shared" si="2"/>
        <v>1</v>
      </c>
      <c r="BN18" s="28">
        <f t="shared" si="3"/>
        <v>1</v>
      </c>
      <c r="BO18" s="30">
        <f t="shared" si="4"/>
        <v>0</v>
      </c>
      <c r="BP18" s="32">
        <f t="shared" si="5"/>
        <v>0</v>
      </c>
      <c r="BQ18" s="32">
        <f t="shared" si="6"/>
        <v>0</v>
      </c>
      <c r="BR18" s="29">
        <f t="shared" si="7"/>
        <v>0</v>
      </c>
      <c r="BS18" s="31">
        <f t="shared" si="8"/>
        <v>0</v>
      </c>
      <c r="BT18" s="31">
        <f t="shared" si="20"/>
        <v>0</v>
      </c>
      <c r="BU18" s="29">
        <f t="shared" si="10"/>
        <v>0</v>
      </c>
      <c r="BV18" s="31">
        <f t="shared" si="11"/>
        <v>0</v>
      </c>
      <c r="BW18" s="31">
        <f t="shared" si="21"/>
        <v>0</v>
      </c>
      <c r="BX18" s="29">
        <f t="shared" si="13"/>
        <v>0</v>
      </c>
      <c r="BY18" s="31">
        <f t="shared" si="14"/>
        <v>0</v>
      </c>
      <c r="BZ18" s="31">
        <f t="shared" si="22"/>
        <v>0</v>
      </c>
      <c r="CA18" s="29">
        <f t="shared" si="16"/>
        <v>0</v>
      </c>
      <c r="CB18" s="31">
        <f t="shared" si="17"/>
        <v>0</v>
      </c>
      <c r="CC18" s="31">
        <f t="shared" si="23"/>
        <v>0</v>
      </c>
      <c r="CD18" s="30">
        <f t="shared" si="19"/>
        <v>0</v>
      </c>
      <c r="CE18" s="30">
        <f t="shared" si="19"/>
        <v>0</v>
      </c>
      <c r="CF18" s="30">
        <f t="shared" si="19"/>
        <v>0</v>
      </c>
      <c r="CG18" s="28"/>
      <c r="CH18" s="28"/>
      <c r="CI18" s="28"/>
      <c r="CJ18" s="28"/>
      <c r="CK18" s="28"/>
      <c r="CL18" s="28"/>
      <c r="CM18" s="28"/>
      <c r="CN18" s="28"/>
      <c r="CO18" s="28"/>
      <c r="CP18" s="28"/>
      <c r="CQ18" s="28"/>
      <c r="CR18" s="28"/>
      <c r="CS18" s="28"/>
      <c r="CT18" s="28"/>
      <c r="CU18" s="28"/>
      <c r="CV18" s="28"/>
      <c r="CW18" s="28"/>
    </row>
    <row r="19" spans="1:101" x14ac:dyDescent="0.2"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</row>
    <row r="20" spans="1:101" x14ac:dyDescent="0.2"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</row>
    <row r="21" spans="1:101" x14ac:dyDescent="0.2"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</row>
  </sheetData>
  <autoFilter ref="A11:AU18"/>
  <mergeCells count="92">
    <mergeCell ref="AT8:AT10"/>
    <mergeCell ref="AU8:AU10"/>
    <mergeCell ref="AJ8:AJ10"/>
    <mergeCell ref="AK8:AK10"/>
    <mergeCell ref="AL8:AL10"/>
    <mergeCell ref="AM8:AM10"/>
    <mergeCell ref="AN8:AN10"/>
    <mergeCell ref="Z8:Z10"/>
    <mergeCell ref="AA8:AB8"/>
    <mergeCell ref="AP8:AP10"/>
    <mergeCell ref="AQ8:AQ10"/>
    <mergeCell ref="AR8:AS8"/>
    <mergeCell ref="AB9:AB10"/>
    <mergeCell ref="AR9:AR10"/>
    <mergeCell ref="AS9:AS10"/>
    <mergeCell ref="N6:AD6"/>
    <mergeCell ref="AE6:AU6"/>
    <mergeCell ref="BM6:BN6"/>
    <mergeCell ref="X8:X10"/>
    <mergeCell ref="Y8:Y10"/>
    <mergeCell ref="AG8:AG10"/>
    <mergeCell ref="AH8:AH10"/>
    <mergeCell ref="AI8:AI10"/>
    <mergeCell ref="AC8:AC10"/>
    <mergeCell ref="AD8:AD10"/>
    <mergeCell ref="AE8:AE10"/>
    <mergeCell ref="AF8:AF10"/>
    <mergeCell ref="T8:T10"/>
    <mergeCell ref="U8:U10"/>
    <mergeCell ref="V8:V10"/>
    <mergeCell ref="W8:W10"/>
    <mergeCell ref="A1:M1"/>
    <mergeCell ref="A2:E2"/>
    <mergeCell ref="F2:M2"/>
    <mergeCell ref="A3:E3"/>
    <mergeCell ref="F3:M3"/>
    <mergeCell ref="A4:E4"/>
    <mergeCell ref="F4:M4"/>
    <mergeCell ref="N7:AD7"/>
    <mergeCell ref="A7:A10"/>
    <mergeCell ref="B7:B10"/>
    <mergeCell ref="C7:F7"/>
    <mergeCell ref="G7:G10"/>
    <mergeCell ref="H7:H10"/>
    <mergeCell ref="A6:M6"/>
    <mergeCell ref="C8:C10"/>
    <mergeCell ref="D8:D10"/>
    <mergeCell ref="E8:E10"/>
    <mergeCell ref="F8:F10"/>
    <mergeCell ref="I7:I10"/>
    <mergeCell ref="J7:J10"/>
    <mergeCell ref="K7:K10"/>
    <mergeCell ref="L7:L10"/>
    <mergeCell ref="M7:M10"/>
    <mergeCell ref="Q8:Q10"/>
    <mergeCell ref="R8:R10"/>
    <mergeCell ref="S8:S10"/>
    <mergeCell ref="N8:N10"/>
    <mergeCell ref="O8:O10"/>
    <mergeCell ref="P8:P10"/>
    <mergeCell ref="AO8:AO10"/>
    <mergeCell ref="BO6:CF6"/>
    <mergeCell ref="CD7:CF8"/>
    <mergeCell ref="BM7:BM10"/>
    <mergeCell ref="BN7:BN10"/>
    <mergeCell ref="BU7:BW8"/>
    <mergeCell ref="BX7:BZ8"/>
    <mergeCell ref="CA7:CC8"/>
    <mergeCell ref="BO7:BQ8"/>
    <mergeCell ref="BR7:BT8"/>
    <mergeCell ref="BI8:BJ8"/>
    <mergeCell ref="BK8:BK10"/>
    <mergeCell ref="BL8:BL10"/>
    <mergeCell ref="BI9:BI10"/>
    <mergeCell ref="BJ9:BJ10"/>
    <mergeCell ref="AE7:AU7"/>
    <mergeCell ref="AA9:AA10"/>
    <mergeCell ref="AV6:BL6"/>
    <mergeCell ref="AV7:BL7"/>
    <mergeCell ref="AV8:AV10"/>
    <mergeCell ref="AW8:AW10"/>
    <mergeCell ref="AX8:AX10"/>
    <mergeCell ref="AY8:AY10"/>
    <mergeCell ref="AZ8:AZ10"/>
    <mergeCell ref="BA8:BA10"/>
    <mergeCell ref="BB8:BB10"/>
    <mergeCell ref="BC8:BC10"/>
    <mergeCell ref="BD8:BD10"/>
    <mergeCell ref="BE8:BE10"/>
    <mergeCell ref="BF8:BF10"/>
    <mergeCell ref="BG8:BG10"/>
    <mergeCell ref="BH8:BH10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МТР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Пухов Андрей Александрович</cp:lastModifiedBy>
  <dcterms:modified xsi:type="dcterms:W3CDTF">2026-08-26T14:34:39Z</dcterms:modified>
</cp:coreProperties>
</file>